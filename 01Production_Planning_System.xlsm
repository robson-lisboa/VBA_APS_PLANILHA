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isbo\OneDrive\Desktop\"/>
    </mc:Choice>
  </mc:AlternateContent>
  <xr:revisionPtr revIDLastSave="0" documentId="13_ncr:1_{6452AB42-71E2-48AC-962A-7B82DB0BE85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00_Dashboard" sheetId="1" r:id="rId1"/>
    <sheet name="02_Operacoes" sheetId="3" r:id="rId2"/>
    <sheet name="1_Planejamento" sheetId="2" r:id="rId3"/>
    <sheet name="SAP" sheetId="9" r:id="rId4"/>
  </sheets>
  <functionGroups builtInGroupCount="19"/>
  <definedNames>
    <definedName name="APS_CFG_CAL_EXC_1" hidden="1">""</definedName>
    <definedName name="APS_CFG_CAL_PAR_1" hidden="1">""</definedName>
    <definedName name="APS_CFG_CAL_SEM_1" hidden="1">"1;S;00:00;00:00|2;S;00:00;00:00|3;S;00:00;00:00|4;S;00:00;00:00|5;S;00:00;00:00|6;S;00:00;22:00|7;S;06:00;22:00"</definedName>
    <definedName name="APS_CFG_OEE_PADRAO_1" hidden="1">"100"</definedName>
    <definedName name="APS_CFG_STAUTO_1" hidden="1">"2|C|66652697|66653297;3|C|66652200|66653100;4|C|66651840|66652320;5|C|66651840|66652697"</definedName>
  </definedNames>
  <calcPr calcId="191029"/>
</workbook>
</file>

<file path=xl/calcChain.xml><?xml version="1.0" encoding="utf-8"?>
<calcChain xmlns="http://schemas.openxmlformats.org/spreadsheetml/2006/main">
  <c r="M4" i="1" l="1"/>
  <c r="K4" i="1"/>
  <c r="I4" i="1"/>
  <c r="G4" i="1"/>
  <c r="E4" i="1"/>
  <c r="C4" i="1"/>
  <c r="A4" i="1"/>
</calcChain>
</file>

<file path=xl/sharedStrings.xml><?xml version="1.0" encoding="utf-8"?>
<sst xmlns="http://schemas.openxmlformats.org/spreadsheetml/2006/main" count="550" uniqueCount="84">
  <si>
    <t>APS | PAINEL EXECUTIVO DE PRODUÇÃO</t>
  </si>
  <si>
    <t>Total de OPs</t>
  </si>
  <si>
    <t>Planejadas</t>
  </si>
  <si>
    <t>Em Andamento</t>
  </si>
  <si>
    <t>Concluídas</t>
  </si>
  <si>
    <t>Atrasadas</t>
  </si>
  <si>
    <t>Horas Totais</t>
  </si>
  <si>
    <t>Ocupação Média</t>
  </si>
  <si>
    <t>Área / Máquina</t>
  </si>
  <si>
    <t>▼</t>
  </si>
  <si>
    <t>HORA</t>
  </si>
  <si>
    <t>00h</t>
  </si>
  <si>
    <t>01h</t>
  </si>
  <si>
    <t>02h</t>
  </si>
  <si>
    <t>03h</t>
  </si>
  <si>
    <t>04h</t>
  </si>
  <si>
    <t>05h</t>
  </si>
  <si>
    <t>06h</t>
  </si>
  <si>
    <t>07h</t>
  </si>
  <si>
    <t>08h</t>
  </si>
  <si>
    <t>09h</t>
  </si>
  <si>
    <t>10h</t>
  </si>
  <si>
    <t>11h</t>
  </si>
  <si>
    <t>12h</t>
  </si>
  <si>
    <t>13h</t>
  </si>
  <si>
    <t>14h</t>
  </si>
  <si>
    <t>15h</t>
  </si>
  <si>
    <t>16h</t>
  </si>
  <si>
    <t>17h</t>
  </si>
  <si>
    <t>18h</t>
  </si>
  <si>
    <t>19h</t>
  </si>
  <si>
    <t>20h</t>
  </si>
  <si>
    <t>21h</t>
  </si>
  <si>
    <t>22h</t>
  </si>
  <si>
    <t>23h</t>
  </si>
  <si>
    <t>SALA DE MISTURA</t>
  </si>
  <si>
    <t>FETTE 2090</t>
  </si>
  <si>
    <t>FETTE 2</t>
  </si>
  <si>
    <t>MEDISEAL</t>
  </si>
  <si>
    <t>BLISTERFLEX</t>
  </si>
  <si>
    <t>GRANULAÇÃO</t>
  </si>
  <si>
    <t>Produto</t>
  </si>
  <si>
    <t>Lote</t>
  </si>
  <si>
    <t>Máquina</t>
  </si>
  <si>
    <t>Puran T4 50 mcg</t>
  </si>
  <si>
    <t>Puran T4 25 mcg</t>
  </si>
  <si>
    <t>OEE</t>
  </si>
  <si>
    <t>Puran T4 100 mcg</t>
  </si>
  <si>
    <t>Código do Produto</t>
  </si>
  <si>
    <t>Data de Início</t>
  </si>
  <si>
    <t>Data de Fim</t>
  </si>
  <si>
    <t>Planejamento</t>
  </si>
  <si>
    <t>Observações</t>
  </si>
  <si>
    <t>Quantidade de Caixas</t>
  </si>
  <si>
    <t>Duração</t>
  </si>
  <si>
    <t>ID</t>
  </si>
  <si>
    <t>Velocidade-base</t>
  </si>
  <si>
    <t xml:space="preserve">       PLANEJAMENTO </t>
  </si>
  <si>
    <t>Uma ordem por linha. Máquina, data, hora e duração são obrigatórias (na Mediseal: Qtd. Caixas e, se diferente do padrão, OEE). O APS não completa dados nem cria regras.</t>
  </si>
  <si>
    <t>Mês do planejamento (1_Planejamento!A1): (não definido - preencha 1_Planejamento!A1)</t>
  </si>
  <si>
    <t>Ordem SAP</t>
  </si>
  <si>
    <t>Hora de Início</t>
  </si>
  <si>
    <t>Duração (hh:mm)</t>
  </si>
  <si>
    <t>Qtd. Caixas</t>
  </si>
  <si>
    <t>OEE (%)</t>
  </si>
  <si>
    <t>Situação</t>
  </si>
  <si>
    <t>Prévia - operação</t>
  </si>
  <si>
    <t>Antes</t>
  </si>
  <si>
    <t>Depois</t>
  </si>
  <si>
    <t>Motivo</t>
  </si>
  <si>
    <t>906658</t>
  </si>
  <si>
    <t>gpu00120</t>
  </si>
  <si>
    <t>Mediseal</t>
  </si>
  <si>
    <t>906654</t>
  </si>
  <si>
    <t>kpoijiouoi</t>
  </si>
  <si>
    <t xml:space="preserve">                                                                        SAP - ORDENS PARA ORGANIZAR</t>
  </si>
  <si>
    <t>906390</t>
  </si>
  <si>
    <t>Mistura para Puran</t>
  </si>
  <si>
    <t>.654.65</t>
  </si>
  <si>
    <t>Granulação</t>
  </si>
  <si>
    <t>906655</t>
  </si>
  <si>
    <t>668556</t>
  </si>
  <si>
    <t>atraso</t>
  </si>
  <si>
    <t>Concluída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</si>
</sst>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[h]:mm"/>
    <numFmt numFmtId="166" formatCode="dd/mm/yyyy\ ddd"/>
    <numFmt numFmtId="167" formatCode="&quot;       PLANEJAMENTO &quot;\_x000a_&quot;Mês: &quot;mmmm/yyyy"/>
  </numFmts>
  <fonts count="18" x14ac:knownFonts="1">
    <font>
      <sz val="11"/>
      <color theme="1"/>
      <name val="Calibri"/>
      <family val="2"/>
      <scheme val="minor"/>
    </font>
    <font>
      <b/>
      <sz val="14"/>
      <color rgb="FFFFFFFF"/>
      <name val="Segoe UI"/>
    </font>
    <font>
      <b/>
      <sz val="9"/>
      <color rgb="FF595959"/>
      <name val="Segoe UI"/>
    </font>
    <font>
      <b/>
      <sz val="14"/>
      <color rgb="FF1F4E78"/>
      <name val="Segoe UI"/>
    </font>
    <font>
      <b/>
      <sz val="10"/>
      <color rgb="FFFFFFFF"/>
      <name val="Segoe UI"/>
    </font>
    <font>
      <b/>
      <sz val="8"/>
      <color rgb="FF333333"/>
      <name val="Segoe UI"/>
    </font>
    <font>
      <sz val="7"/>
      <color rgb="FF666666"/>
      <name val="Segoe UI"/>
    </font>
    <font>
      <sz val="8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1F4E7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Segoe UI"/>
      <family val="2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FFFFFF"/>
      <name val="Segoe UI"/>
      <family val="2"/>
    </font>
    <font>
      <b/>
      <sz val="10"/>
      <color rgb="FF1F4E78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EEF3"/>
        <bgColor rgb="FFEAEEF3"/>
      </patternFill>
    </fill>
    <fill>
      <patternFill patternType="solid">
        <fgColor rgb="FFFFFFFF"/>
        <bgColor rgb="FFFFFFFF"/>
      </patternFill>
    </fill>
    <fill>
      <patternFill patternType="solid">
        <fgColor rgb="FFD9E1E8"/>
        <bgColor rgb="FFD9E1E8"/>
      </patternFill>
    </fill>
    <fill>
      <patternFill patternType="solid">
        <fgColor rgb="FFE9EDF4"/>
        <bgColor rgb="FFE9EDF4"/>
      </patternFill>
    </fill>
    <fill>
      <patternFill patternType="solid">
        <fgColor rgb="FF1F4E78"/>
        <bgColor indexed="64"/>
      </patternFill>
    </fill>
    <fill>
      <patternFill patternType="solid">
        <fgColor rgb="FFE4E4E4"/>
        <bgColor rgb="FFFFFFFF"/>
      </patternFill>
    </fill>
    <fill>
      <patternFill patternType="solid">
        <fgColor rgb="FFFFC000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rgb="FFD9E1E8"/>
      </patternFill>
    </fill>
    <fill>
      <patternFill patternType="solid">
        <fgColor rgb="FFFFF9E1"/>
        <bgColor rgb="FFFFFFFF"/>
      </patternFill>
    </fill>
    <fill>
      <patternFill patternType="solid">
        <fgColor rgb="FF546E7A"/>
        <bgColor indexed="64"/>
      </patternFill>
    </fill>
  </fills>
  <borders count="2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4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0" fillId="4" borderId="1" xfId="0" applyFill="1" applyBorder="1"/>
    <xf numFmtId="0" fontId="8" fillId="7" borderId="0" xfId="0" applyFont="1" applyFill="1" applyAlignment="1">
      <alignment horizontal="center" vertical="center"/>
    </xf>
    <xf numFmtId="0" fontId="0" fillId="8" borderId="1" xfId="0" applyFill="1" applyBorder="1"/>
    <xf numFmtId="0" fontId="5" fillId="11" borderId="0" xfId="0" applyFont="1" applyFill="1" applyAlignment="1">
      <alignment horizontal="center" vertical="center"/>
    </xf>
    <xf numFmtId="0" fontId="0" fillId="12" borderId="1" xfId="0" applyFill="1" applyBorder="1"/>
    <xf numFmtId="167" fontId="12" fillId="2" borderId="0" xfId="0" applyNumberFormat="1" applyFont="1" applyFill="1" applyAlignment="1">
      <alignment vertical="top" wrapText="1"/>
    </xf>
    <xf numFmtId="0" fontId="11" fillId="0" borderId="0" xfId="0" applyFont="1"/>
    <xf numFmtId="0" fontId="14" fillId="0" borderId="0" xfId="0" applyFont="1"/>
    <xf numFmtId="0" fontId="8" fillId="7" borderId="0" xfId="0" applyFont="1" applyFill="1" applyAlignment="1">
      <alignment horizontal="center"/>
    </xf>
    <xf numFmtId="14" fontId="0" fillId="0" borderId="0" xfId="0" applyNumberFormat="1"/>
    <xf numFmtId="20" fontId="0" fillId="0" borderId="0" xfId="0" applyNumberFormat="1"/>
    <xf numFmtId="49" fontId="0" fillId="0" borderId="0" xfId="0" applyNumberFormat="1"/>
    <xf numFmtId="0" fontId="8" fillId="13" borderId="0" xfId="0" applyFont="1" applyFill="1" applyAlignment="1">
      <alignment horizont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22" fontId="15" fillId="0" borderId="0" xfId="0" applyNumberFormat="1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/>
    <xf numFmtId="0" fontId="3" fillId="4" borderId="0" xfId="0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166" fontId="16" fillId="2" borderId="0" xfId="0" applyNumberFormat="1" applyFont="1" applyFill="1" applyAlignment="1">
      <alignment horizontal="center" vertical="center"/>
    </xf>
    <xf numFmtId="0" fontId="9" fillId="7" borderId="0" xfId="0" applyFont="1" applyFill="1"/>
    <xf numFmtId="166" fontId="17" fillId="9" borderId="0" xfId="0" applyNumberFormat="1" applyFont="1" applyFill="1" applyAlignment="1">
      <alignment horizontal="center" vertical="center"/>
    </xf>
    <xf numFmtId="0" fontId="10" fillId="10" borderId="0" xfId="0" applyFont="1" applyFill="1"/>
    <xf numFmtId="0" fontId="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101600</xdr:colOff>
      <xdr:row>0</xdr:row>
      <xdr:rowOff>50800</xdr:rowOff>
    </xdr:from>
    <xdr:to>
      <xdr:col>16</xdr:col>
      <xdr:colOff>177800</xdr:colOff>
      <xdr:row>0</xdr:row>
      <xdr:rowOff>330200</xdr:rowOff>
    </xdr:to>
    <xdr:sp macro="APS_NovaOperacao" textlink="">
      <xdr:nvSpPr>
        <xdr:cNvPr id="2" name="APS_BTN_NOVA_OPS">
          <a:extLst>
            <a:ext uri="{FF2B5EF4-FFF2-40B4-BE49-F238E27FC236}">
              <a16:creationId xmlns:a16="http://schemas.microsoft.com/office/drawing/2014/main" id="{2FDDC71F-98FC-40DF-9100-9F2EEB243AA2}"/>
            </a:ext>
          </a:extLst>
        </xdr:cNvPr>
        <xdr:cNvSpPr/>
      </xdr:nvSpPr>
      <xdr:spPr>
        <a:xfrm>
          <a:off x="11931650" y="50800"/>
          <a:ext cx="1905000" cy="2794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406400</xdr:rowOff>
    </xdr:from>
    <xdr:to>
      <xdr:col>0</xdr:col>
      <xdr:colOff>1730375</xdr:colOff>
      <xdr:row>0</xdr:row>
      <xdr:rowOff>660400</xdr:rowOff>
    </xdr:to>
    <xdr:sp macro="APS_NovaOperacao" textlink="">
      <xdr:nvSpPr>
        <xdr:cNvPr id="2" name="APS_BTN_NOVA">
          <a:extLst>
            <a:ext uri="{FF2B5EF4-FFF2-40B4-BE49-F238E27FC236}">
              <a16:creationId xmlns:a16="http://schemas.microsoft.com/office/drawing/2014/main" id="{C6F7C233-3B1D-4906-86E6-9FA92F40391C}"/>
            </a:ext>
          </a:extLst>
        </xdr:cNvPr>
        <xdr:cNvSpPr/>
      </xdr:nvSpPr>
      <xdr:spPr>
        <a:xfrm>
          <a:off x="50800" y="406400"/>
          <a:ext cx="1679575" cy="2540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NOVA OPERAÇÃO</a:t>
          </a:r>
        </a:p>
      </xdr:txBody>
    </xdr:sp>
    <xdr:clientData/>
  </xdr:twoCellAnchor>
  <xdr:twoCellAnchor editAs="oneCell">
    <xdr:from>
      <xdr:col>0</xdr:col>
      <xdr:colOff>50800</xdr:colOff>
      <xdr:row>0</xdr:row>
      <xdr:rowOff>698500</xdr:rowOff>
    </xdr:from>
    <xdr:to>
      <xdr:col>0</xdr:col>
      <xdr:colOff>865188</xdr:colOff>
      <xdr:row>0</xdr:row>
      <xdr:rowOff>927100</xdr:rowOff>
    </xdr:to>
    <xdr:sp macro="APS_IrParaHojeBtn" textlink="">
      <xdr:nvSpPr>
        <xdr:cNvPr id="3" name="APS_BTN_HOJE">
          <a:extLst>
            <a:ext uri="{FF2B5EF4-FFF2-40B4-BE49-F238E27FC236}">
              <a16:creationId xmlns:a16="http://schemas.microsoft.com/office/drawing/2014/main" id="{3CA55980-295D-4659-9765-A911B83344F8}"/>
            </a:ext>
          </a:extLst>
        </xdr:cNvPr>
        <xdr:cNvSpPr/>
      </xdr:nvSpPr>
      <xdr:spPr>
        <a:xfrm>
          <a:off x="50800" y="698500"/>
          <a:ext cx="814388" cy="228600"/>
        </a:xfrm>
        <a:prstGeom prst="roundRect">
          <a:avLst/>
        </a:prstGeom>
        <a:solidFill>
          <a:srgbClr val="E691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HOJE</a:t>
          </a:r>
        </a:p>
      </xdr:txBody>
    </xdr:sp>
    <xdr:clientData/>
  </xdr:twoCellAnchor>
  <xdr:twoCellAnchor editAs="oneCell">
    <xdr:from>
      <xdr:col>0</xdr:col>
      <xdr:colOff>915988</xdr:colOff>
      <xdr:row>0</xdr:row>
      <xdr:rowOff>698500</xdr:rowOff>
    </xdr:from>
    <xdr:to>
      <xdr:col>0</xdr:col>
      <xdr:colOff>1730375</xdr:colOff>
      <xdr:row>0</xdr:row>
      <xdr:rowOff>927100</xdr:rowOff>
    </xdr:to>
    <xdr:sp macro="APS_AbrirCalendario" textlink="">
      <xdr:nvSpPr>
        <xdr:cNvPr id="4" name="APS_BTN_CAL">
          <a:extLst>
            <a:ext uri="{FF2B5EF4-FFF2-40B4-BE49-F238E27FC236}">
              <a16:creationId xmlns:a16="http://schemas.microsoft.com/office/drawing/2014/main" id="{DC55453F-2140-4CA0-9039-515FF00E1BDB}"/>
            </a:ext>
          </a:extLst>
        </xdr:cNvPr>
        <xdr:cNvSpPr/>
      </xdr:nvSpPr>
      <xdr:spPr>
        <a:xfrm>
          <a:off x="915988" y="698500"/>
          <a:ext cx="814387" cy="228600"/>
        </a:xfrm>
        <a:prstGeom prst="roundRect">
          <a:avLst/>
        </a:prstGeom>
        <a:solidFill>
          <a:srgbClr val="546E7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CALENDÁRIO</a:t>
          </a:r>
        </a:p>
      </xdr:txBody>
    </xdr:sp>
    <xdr:clientData/>
  </xdr:twoCellAnchor>
  <xdr:twoCellAnchor editAs="oneCell">
    <xdr:from>
      <xdr:col>0</xdr:col>
      <xdr:colOff>50800</xdr:colOff>
      <xdr:row>28</xdr:row>
      <xdr:rowOff>0</xdr:rowOff>
    </xdr:from>
    <xdr:to>
      <xdr:col>0</xdr:col>
      <xdr:colOff>1730375</xdr:colOff>
      <xdr:row>29</xdr:row>
      <xdr:rowOff>114300</xdr:rowOff>
    </xdr:to>
    <xdr:sp macro="APS_AdicionarDias" textlink="">
      <xdr:nvSpPr>
        <xdr:cNvPr id="5" name="APS_BTN_DIAS">
          <a:extLst>
            <a:ext uri="{FF2B5EF4-FFF2-40B4-BE49-F238E27FC236}">
              <a16:creationId xmlns:a16="http://schemas.microsoft.com/office/drawing/2014/main" id="{37466701-716D-4097-B253-7ACE818779BD}"/>
            </a:ext>
          </a:extLst>
        </xdr:cNvPr>
        <xdr:cNvSpPr/>
      </xdr:nvSpPr>
      <xdr:spPr>
        <a:xfrm>
          <a:off x="50800" y="6134100"/>
          <a:ext cx="1679575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+ ADICIONAR DIAS</a:t>
          </a:r>
        </a:p>
      </xdr:txBody>
    </xdr:sp>
    <xdr:clientData/>
  </xdr:twoCellAnchor>
  <xdr:twoCellAnchor>
    <xdr:from>
      <xdr:col>111</xdr:col>
      <xdr:colOff>83660</xdr:colOff>
      <xdr:row>15</xdr:row>
      <xdr:rowOff>25400</xdr:rowOff>
    </xdr:from>
    <xdr:to>
      <xdr:col>121</xdr:col>
      <xdr:colOff>83660</xdr:colOff>
      <xdr:row>18</xdr:row>
      <xdr:rowOff>139700</xdr:rowOff>
    </xdr:to>
    <xdr:sp macro="APS_CardClick" textlink="">
      <xdr:nvSpPr>
        <xdr:cNvPr id="10" name="OPCARD_2" descr="OP 2 | Puran T4 100 mcg | Lote gpu00120 | Mediseal | 21/09 14:17 - 22/09 00:17 | Concluída">
          <a:extLst>
            <a:ext uri="{FF2B5EF4-FFF2-40B4-BE49-F238E27FC236}">
              <a16:creationId xmlns:a16="http://schemas.microsoft.com/office/drawing/2014/main" id="{482C8ECC-3BB7-41CF-A9B8-A2B9049825B5}"/>
            </a:ext>
          </a:extLst>
        </xdr:cNvPr>
        <xdr:cNvSpPr/>
      </xdr:nvSpPr>
      <xdr:spPr>
        <a:xfrm>
          <a:off x="34345085" y="3683000"/>
          <a:ext cx="2952750" cy="685800"/>
        </a:xfrm>
        <a:prstGeom prst="roundRect">
          <a:avLst>
            <a:gd name="adj" fmla="val 15000"/>
          </a:avLst>
        </a:prstGeom>
        <a:solidFill>
          <a:srgbClr val="185CA0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OP 2  Puran T4 100 mcg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gpu00120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14:17-00:17 (+1)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Concluída</a:t>
          </a:r>
        </a:p>
      </xdr:txBody>
    </xdr:sp>
    <xdr:clientData/>
  </xdr:twoCellAnchor>
  <xdr:twoCellAnchor>
    <xdr:from>
      <xdr:col>103</xdr:col>
      <xdr:colOff>0</xdr:colOff>
      <xdr:row>11</xdr:row>
      <xdr:rowOff>25400</xdr:rowOff>
    </xdr:from>
    <xdr:to>
      <xdr:col>118</xdr:col>
      <xdr:colOff>0</xdr:colOff>
      <xdr:row>14</xdr:row>
      <xdr:rowOff>139700</xdr:rowOff>
    </xdr:to>
    <xdr:sp macro="APS_CardClick" textlink="">
      <xdr:nvSpPr>
        <xdr:cNvPr id="11" name="OPCARD_3" descr="OP 3 | Puran T4 50 mcg | Lote kpoijiouoi | FETTE 2 | 21/09 06:00 - 21/09 21:00 | Concluída">
          <a:extLst>
            <a:ext uri="{FF2B5EF4-FFF2-40B4-BE49-F238E27FC236}">
              <a16:creationId xmlns:a16="http://schemas.microsoft.com/office/drawing/2014/main" id="{B4E88990-4EBE-43E1-B3FC-48F9C599F750}"/>
            </a:ext>
          </a:extLst>
        </xdr:cNvPr>
        <xdr:cNvSpPr/>
      </xdr:nvSpPr>
      <xdr:spPr>
        <a:xfrm>
          <a:off x="31899225" y="2921000"/>
          <a:ext cx="4429125" cy="685800"/>
        </a:xfrm>
        <a:prstGeom prst="roundRect">
          <a:avLst>
            <a:gd name="adj" fmla="val 15000"/>
          </a:avLst>
        </a:prstGeom>
        <a:solidFill>
          <a:srgbClr val="D66E1E">
            <a:alpha val="55000"/>
          </a:srgbClr>
        </a:solidFill>
        <a:ln w="12700">
          <a:solidFill>
            <a:srgbClr val="787878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1E1E1E"/>
              </a:solidFill>
              <a:latin typeface="Calibri" panose="020F0502020204030204" pitchFamily="34" charset="0"/>
            </a:rPr>
            <a:t>OP 3  Puran T4 50 mcg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Lote kpoijiouoi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06:00-21:00</a:t>
          </a:r>
        </a:p>
        <a:p>
          <a:pPr algn="l"/>
          <a:r>
            <a:rPr lang="pt-BR" sz="900" b="0">
              <a:solidFill>
                <a:srgbClr val="1E1E1E"/>
              </a:solidFill>
              <a:latin typeface="Calibri" panose="020F0502020204030204" pitchFamily="34" charset="0"/>
            </a:rPr>
            <a:t>Concluída</a:t>
          </a:r>
        </a:p>
      </xdr:txBody>
    </xdr:sp>
    <xdr:clientData/>
  </xdr:twoCellAnchor>
  <xdr:twoCellAnchor>
    <xdr:from>
      <xdr:col>97</xdr:col>
      <xdr:colOff>0</xdr:colOff>
      <xdr:row>23</xdr:row>
      <xdr:rowOff>25400</xdr:rowOff>
    </xdr:from>
    <xdr:to>
      <xdr:col>105</xdr:col>
      <xdr:colOff>0</xdr:colOff>
      <xdr:row>26</xdr:row>
      <xdr:rowOff>139700</xdr:rowOff>
    </xdr:to>
    <xdr:sp macro="APS_CardClick" textlink="">
      <xdr:nvSpPr>
        <xdr:cNvPr id="12" name="OPCARD_4" descr="OP 4 | Mistura para Puran | Lote .654.65 | Granulação | 21/09 00:00 - 21/09 08:00 | Em Andamento">
          <a:extLst>
            <a:ext uri="{FF2B5EF4-FFF2-40B4-BE49-F238E27FC236}">
              <a16:creationId xmlns:a16="http://schemas.microsoft.com/office/drawing/2014/main" id="{46FCC309-6DB2-4FA8-905F-1FC65244AA3B}"/>
            </a:ext>
          </a:extLst>
        </xdr:cNvPr>
        <xdr:cNvSpPr/>
      </xdr:nvSpPr>
      <xdr:spPr>
        <a:xfrm>
          <a:off x="30127575" y="5207000"/>
          <a:ext cx="2362200" cy="685800"/>
        </a:xfrm>
        <a:prstGeom prst="roundRect">
          <a:avLst>
            <a:gd name="adj" fmla="val 15000"/>
          </a:avLst>
        </a:prstGeom>
        <a:solidFill>
          <a:srgbClr val="3F51B5"/>
        </a:solidFill>
        <a:ln w="31750">
          <a:solidFill>
            <a:srgbClr val="4CD9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FFFFFF"/>
              </a:solidFill>
              <a:latin typeface="Calibri" panose="020F0502020204030204" pitchFamily="34" charset="0"/>
            </a:rPr>
            <a:t>OP 4  Mistura para Puran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Lote .654.65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00:00-08:00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Em Andamento</a:t>
          </a:r>
        </a:p>
      </xdr:txBody>
    </xdr:sp>
    <xdr:clientData/>
  </xdr:twoCellAnchor>
  <xdr:twoCellAnchor>
    <xdr:from>
      <xdr:col>97</xdr:col>
      <xdr:colOff>0</xdr:colOff>
      <xdr:row>15</xdr:row>
      <xdr:rowOff>25400</xdr:rowOff>
    </xdr:from>
    <xdr:to>
      <xdr:col>111</xdr:col>
      <xdr:colOff>83661</xdr:colOff>
      <xdr:row>18</xdr:row>
      <xdr:rowOff>139700</xdr:rowOff>
    </xdr:to>
    <xdr:sp macro="APS_CardClick" textlink="">
      <xdr:nvSpPr>
        <xdr:cNvPr id="13" name="OPCARD_5" descr="OP 5 | Puran T4 25 mcg | Lote 668556 | Mediseal | 21/09 00:00 - 21/09 14:17 | Em Andamento">
          <a:extLst>
            <a:ext uri="{FF2B5EF4-FFF2-40B4-BE49-F238E27FC236}">
              <a16:creationId xmlns:a16="http://schemas.microsoft.com/office/drawing/2014/main" id="{1C7D831B-0D68-4C3D-AC4F-87EB4E725DB1}"/>
            </a:ext>
          </a:extLst>
        </xdr:cNvPr>
        <xdr:cNvSpPr/>
      </xdr:nvSpPr>
      <xdr:spPr>
        <a:xfrm>
          <a:off x="30127575" y="3683000"/>
          <a:ext cx="4217511" cy="685800"/>
        </a:xfrm>
        <a:prstGeom prst="roundRect">
          <a:avLst>
            <a:gd name="adj" fmla="val 15000"/>
          </a:avLst>
        </a:prstGeom>
        <a:solidFill>
          <a:srgbClr val="27965A"/>
        </a:solidFill>
        <a:ln w="31750">
          <a:solidFill>
            <a:srgbClr val="4CD964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50800" tIns="12700" rIns="25400" bIns="12700" rtlCol="0" anchor="ctr">
          <a:noAutofit/>
        </a:bodyPr>
        <a:lstStyle/>
        <a:p>
          <a:pPr algn="l"/>
          <a:r>
            <a:rPr lang="pt-BR" sz="900" b="1">
              <a:solidFill>
                <a:srgbClr val="FFFFFF"/>
              </a:solidFill>
              <a:latin typeface="Calibri" panose="020F0502020204030204" pitchFamily="34" charset="0"/>
            </a:rPr>
            <a:t>OP 5  Puran T4 25 mcg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Lote 668556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00:00-14:17</a:t>
          </a:r>
        </a:p>
        <a:p>
          <a:pPr algn="l"/>
          <a:r>
            <a:rPr lang="pt-BR" sz="900" b="0">
              <a:solidFill>
                <a:srgbClr val="FFFFFF"/>
              </a:solidFill>
              <a:latin typeface="Calibri" panose="020F0502020204030204" pitchFamily="34" charset="0"/>
            </a:rPr>
            <a:t>Em Andamento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38100</xdr:rowOff>
    </xdr:from>
    <xdr:to>
      <xdr:col>9</xdr:col>
      <xdr:colOff>377825</xdr:colOff>
      <xdr:row>0</xdr:row>
      <xdr:rowOff>342900</xdr:rowOff>
    </xdr:to>
    <xdr:sp macro="APS_OrganizarAutomaticamente" textlink="">
      <xdr:nvSpPr>
        <xdr:cNvPr id="2" name="APS_BTN_ORGANIZAR">
          <a:extLst>
            <a:ext uri="{FF2B5EF4-FFF2-40B4-BE49-F238E27FC236}">
              <a16:creationId xmlns:a16="http://schemas.microsoft.com/office/drawing/2014/main" id="{36913CCF-6A46-417A-B9A5-971D8570B913}"/>
            </a:ext>
          </a:extLst>
        </xdr:cNvPr>
        <xdr:cNvSpPr/>
      </xdr:nvSpPr>
      <xdr:spPr>
        <a:xfrm>
          <a:off x="6353175" y="38100"/>
          <a:ext cx="2921000" cy="304800"/>
        </a:xfrm>
        <a:prstGeom prst="roundRect">
          <a:avLst/>
        </a:prstGeom>
        <a:solidFill>
          <a:srgbClr val="2E7D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pt-BR" sz="900" b="1">
              <a:solidFill>
                <a:srgbClr val="FFFFFF"/>
              </a:solidFill>
            </a:rPr>
            <a:t>ORGANIZAR AUTOMATICAMENTE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"/>
  <sheetViews>
    <sheetView workbookViewId="0">
      <selection sqref="A1:H1"/>
    </sheetView>
  </sheetViews>
  <sheetFormatPr defaultRowHeight="15" x14ac:dyDescent="0.25"/>
  <cols>
    <col min="1" max="1" width="34" customWidth="1"/>
    <col min="2" max="2" width="12" customWidth="1"/>
    <col min="3" max="3" width="48" customWidth="1"/>
    <col min="4" max="4" width="12" customWidth="1"/>
    <col min="5" max="5" width="51" customWidth="1"/>
    <col min="6" max="6" width="12" customWidth="1"/>
    <col min="7" max="7" width="48" customWidth="1"/>
    <col min="8" max="8" width="12" customWidth="1"/>
    <col min="9" max="9" width="47" customWidth="1"/>
    <col min="10" max="10" width="12" customWidth="1"/>
    <col min="11" max="11" width="31" customWidth="1"/>
    <col min="12" max="12" width="12" customWidth="1"/>
    <col min="13" max="13" width="35" customWidth="1"/>
    <col min="14" max="14" width="12" customWidth="1"/>
  </cols>
  <sheetData>
    <row r="1" spans="1:14" ht="35.1" customHeight="1" x14ac:dyDescent="0.35">
      <c r="A1" s="23" t="s">
        <v>0</v>
      </c>
      <c r="B1" s="22"/>
      <c r="C1" s="22"/>
      <c r="D1" s="22"/>
      <c r="E1" s="22"/>
      <c r="F1" s="22"/>
      <c r="G1" s="22"/>
      <c r="H1" s="22"/>
    </row>
    <row r="3" spans="1:14" ht="20.100000000000001" customHeight="1" x14ac:dyDescent="0.25">
      <c r="A3" s="21" t="s">
        <v>1</v>
      </c>
      <c r="B3" s="22"/>
      <c r="C3" s="21" t="s">
        <v>2</v>
      </c>
      <c r="D3" s="22"/>
      <c r="E3" s="21" t="s">
        <v>3</v>
      </c>
      <c r="F3" s="22"/>
      <c r="G3" s="21" t="s">
        <v>4</v>
      </c>
      <c r="H3" s="22"/>
      <c r="I3" s="21" t="s">
        <v>5</v>
      </c>
      <c r="J3" s="22"/>
      <c r="K3" s="21" t="s">
        <v>6</v>
      </c>
      <c r="L3" s="22"/>
      <c r="M3" s="21" t="s">
        <v>7</v>
      </c>
      <c r="N3" s="22"/>
    </row>
    <row r="4" spans="1:14" ht="30" customHeight="1" x14ac:dyDescent="0.25">
      <c r="A4" s="24">
        <f>COUNTA('02_Operacoes'!A2:A100)</f>
        <v>4</v>
      </c>
      <c r="B4" s="22"/>
      <c r="C4" s="24">
        <f>COUNTIF('02_Operacoes'!H2:H100, "Planejada")</f>
        <v>0</v>
      </c>
      <c r="D4" s="22"/>
      <c r="E4" s="24">
        <f>COUNTIF('02_Operacoes'!H2:H100, "Em Andamento")</f>
        <v>0</v>
      </c>
      <c r="F4" s="22"/>
      <c r="G4" s="24">
        <f>COUNTIF('02_Operacoes'!H2:H100, "Concluída")</f>
        <v>0</v>
      </c>
      <c r="H4" s="22"/>
      <c r="I4" s="24">
        <f>COUNTIF('02_Operacoes'!H2:H100, "Atrasada")</f>
        <v>0</v>
      </c>
      <c r="J4" s="22"/>
      <c r="K4" s="24">
        <f>SUM('02_Operacoes'!I2:I100)</f>
        <v>8000</v>
      </c>
      <c r="L4" s="22"/>
      <c r="M4" s="25">
        <f>AVERAGE('02_Operacoes'!J2:J100)</f>
        <v>0.49253472222222222</v>
      </c>
      <c r="N4" s="22"/>
    </row>
  </sheetData>
  <mergeCells count="15">
    <mergeCell ref="I3:J3"/>
    <mergeCell ref="M3:N3"/>
    <mergeCell ref="A1:H1"/>
    <mergeCell ref="K4:L4"/>
    <mergeCell ref="C3:D3"/>
    <mergeCell ref="A3:B3"/>
    <mergeCell ref="G3:H3"/>
    <mergeCell ref="E3:F3"/>
    <mergeCell ref="K3:L3"/>
    <mergeCell ref="C4:D4"/>
    <mergeCell ref="A4:B4"/>
    <mergeCell ref="G4:H4"/>
    <mergeCell ref="E4:F4"/>
    <mergeCell ref="I4:J4"/>
    <mergeCell ref="M4:N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M5"/>
  <sheetViews>
    <sheetView workbookViewId="0">
      <selection activeCell="C9" sqref="C9"/>
    </sheetView>
  </sheetViews>
  <sheetFormatPr defaultRowHeight="15" x14ac:dyDescent="0.25"/>
  <cols>
    <col min="1" max="1" width="17.85546875" customWidth="1"/>
    <col min="2" max="2" width="23" customWidth="1"/>
    <col min="3" max="3" width="14.7109375" customWidth="1"/>
    <col min="4" max="6" width="18.7109375" customWidth="1"/>
    <col min="7" max="7" width="15.7109375" customWidth="1"/>
    <col min="8" max="8" width="16.5703125" customWidth="1"/>
    <col min="9" max="9" width="20.7109375" customWidth="1"/>
    <col min="10" max="10" width="12.7109375" customWidth="1"/>
    <col min="11" max="12" width="8.7109375" hidden="1" customWidth="1"/>
    <col min="13" max="13" width="16.7109375" hidden="1" customWidth="1"/>
  </cols>
  <sheetData>
    <row r="1" spans="1:13" ht="27.95" customHeight="1" x14ac:dyDescent="0.25">
      <c r="A1" s="5" t="s">
        <v>48</v>
      </c>
      <c r="B1" s="5" t="s">
        <v>41</v>
      </c>
      <c r="C1" s="5" t="s">
        <v>42</v>
      </c>
      <c r="D1" s="5" t="s">
        <v>43</v>
      </c>
      <c r="E1" s="5" t="s">
        <v>49</v>
      </c>
      <c r="F1" s="5" t="s">
        <v>50</v>
      </c>
      <c r="G1" s="5" t="s">
        <v>51</v>
      </c>
      <c r="H1" s="5" t="s">
        <v>52</v>
      </c>
      <c r="I1" s="5" t="s">
        <v>53</v>
      </c>
      <c r="J1" s="5" t="s">
        <v>54</v>
      </c>
      <c r="K1" s="5" t="s">
        <v>55</v>
      </c>
      <c r="L1" s="5" t="s">
        <v>46</v>
      </c>
      <c r="M1" s="5" t="s">
        <v>56</v>
      </c>
    </row>
    <row r="2" spans="1:13" ht="20.100000000000001" customHeight="1" x14ac:dyDescent="0.25">
      <c r="A2" s="17" t="s">
        <v>70</v>
      </c>
      <c r="B2" s="18" t="s">
        <v>47</v>
      </c>
      <c r="C2" s="17" t="s">
        <v>71</v>
      </c>
      <c r="D2" s="18" t="s">
        <v>72</v>
      </c>
      <c r="E2" s="20">
        <v>46286.595138888886</v>
      </c>
      <c r="F2" s="20">
        <v>46287.011805555558</v>
      </c>
      <c r="G2" s="18" t="s">
        <v>83</v>
      </c>
      <c r="H2" s="18"/>
      <c r="I2" s="18">
        <v>4000</v>
      </c>
      <c r="J2" s="19">
        <v>0.41666666666666669</v>
      </c>
    </row>
    <row r="3" spans="1:13" ht="20.100000000000001" customHeight="1" x14ac:dyDescent="0.25">
      <c r="A3" s="17" t="s">
        <v>73</v>
      </c>
      <c r="B3" s="18" t="s">
        <v>44</v>
      </c>
      <c r="C3" s="17" t="s">
        <v>74</v>
      </c>
      <c r="D3" s="18" t="s">
        <v>37</v>
      </c>
      <c r="E3" s="20">
        <v>46286.25</v>
      </c>
      <c r="F3" s="20">
        <v>46286.875</v>
      </c>
      <c r="G3" s="18" t="s">
        <v>83</v>
      </c>
      <c r="H3" s="18"/>
      <c r="I3" s="18"/>
      <c r="J3" s="19">
        <v>0.625</v>
      </c>
    </row>
    <row r="4" spans="1:13" ht="20.100000000000001" customHeight="1" x14ac:dyDescent="0.25">
      <c r="A4" s="17" t="s">
        <v>76</v>
      </c>
      <c r="B4" s="18" t="s">
        <v>77</v>
      </c>
      <c r="C4" s="17" t="s">
        <v>78</v>
      </c>
      <c r="D4" s="18" t="s">
        <v>79</v>
      </c>
      <c r="E4" s="20">
        <v>46286</v>
      </c>
      <c r="F4" s="20">
        <v>46286.333333333336</v>
      </c>
      <c r="G4" s="18" t="s">
        <v>3</v>
      </c>
      <c r="H4" s="18"/>
      <c r="I4" s="18"/>
      <c r="J4" s="19">
        <v>0.33333333333333331</v>
      </c>
    </row>
    <row r="5" spans="1:13" x14ac:dyDescent="0.25">
      <c r="A5" s="17" t="s">
        <v>80</v>
      </c>
      <c r="B5" s="18" t="s">
        <v>45</v>
      </c>
      <c r="C5" s="17" t="s">
        <v>81</v>
      </c>
      <c r="D5" s="18" t="s">
        <v>72</v>
      </c>
      <c r="E5" s="20">
        <v>46286</v>
      </c>
      <c r="F5" s="20">
        <v>46286.595138888886</v>
      </c>
      <c r="G5" s="18" t="s">
        <v>3</v>
      </c>
      <c r="H5" s="18" t="s">
        <v>82</v>
      </c>
      <c r="I5" s="18">
        <v>4000</v>
      </c>
      <c r="J5" s="19">
        <v>0.59513888888888888</v>
      </c>
    </row>
  </sheetData>
  <phoneticPr fontId="7" type="noConversion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G27"/>
  <sheetViews>
    <sheetView tabSelected="1" zoomScale="90" zoomScaleNormal="90" workbookViewId="0">
      <pane xSplit="1" ySplit="3" topLeftCell="FN4" activePane="bottomRight" state="frozen"/>
      <selection pane="topRight" activeCell="B1" sqref="B1"/>
      <selection pane="bottomLeft" activeCell="A4" sqref="A4"/>
      <selection pane="bottomRight" activeCell="CY9" sqref="CY9"/>
    </sheetView>
  </sheetViews>
  <sheetFormatPr defaultRowHeight="15" x14ac:dyDescent="0.25"/>
  <cols>
    <col min="1" max="1" width="26.7109375" customWidth="1"/>
    <col min="2" max="241" width="4.42578125" customWidth="1"/>
  </cols>
  <sheetData>
    <row r="1" spans="1:241" ht="78" customHeight="1" x14ac:dyDescent="0.25">
      <c r="A1" s="9" t="s">
        <v>57</v>
      </c>
      <c r="B1" s="26">
        <v>46282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6">
        <v>46283</v>
      </c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6">
        <v>46284</v>
      </c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6">
        <v>46285</v>
      </c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6">
        <v>46286</v>
      </c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6">
        <v>46287</v>
      </c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6">
        <v>46288</v>
      </c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8">
        <v>46289</v>
      </c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6">
        <v>46290</v>
      </c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6">
        <v>46291</v>
      </c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</row>
    <row r="2" spans="1:241" x14ac:dyDescent="0.25">
      <c r="A2" s="1" t="s">
        <v>8</v>
      </c>
      <c r="B2" s="2" t="s">
        <v>9</v>
      </c>
      <c r="C2" s="2" t="s">
        <v>9</v>
      </c>
      <c r="D2" s="2" t="s">
        <v>9</v>
      </c>
      <c r="E2" s="2" t="s">
        <v>9</v>
      </c>
      <c r="F2" s="2" t="s">
        <v>9</v>
      </c>
      <c r="G2" s="2" t="s">
        <v>9</v>
      </c>
      <c r="H2" s="2" t="s">
        <v>9</v>
      </c>
      <c r="I2" s="2" t="s">
        <v>9</v>
      </c>
      <c r="J2" s="2" t="s">
        <v>9</v>
      </c>
      <c r="K2" s="2" t="s">
        <v>9</v>
      </c>
      <c r="L2" s="2" t="s">
        <v>9</v>
      </c>
      <c r="M2" s="2" t="s">
        <v>9</v>
      </c>
      <c r="N2" s="2" t="s">
        <v>9</v>
      </c>
      <c r="O2" s="2" t="s">
        <v>9</v>
      </c>
      <c r="P2" s="2" t="s">
        <v>9</v>
      </c>
      <c r="Q2" s="2" t="s">
        <v>9</v>
      </c>
      <c r="R2" s="2" t="s">
        <v>9</v>
      </c>
      <c r="S2" s="2" t="s">
        <v>9</v>
      </c>
      <c r="T2" s="2" t="s">
        <v>9</v>
      </c>
      <c r="U2" s="2" t="s">
        <v>9</v>
      </c>
      <c r="V2" s="2" t="s">
        <v>9</v>
      </c>
      <c r="W2" s="2" t="s">
        <v>9</v>
      </c>
      <c r="X2" s="2" t="s">
        <v>9</v>
      </c>
      <c r="Y2" s="2" t="s">
        <v>9</v>
      </c>
      <c r="Z2" s="2" t="s">
        <v>9</v>
      </c>
      <c r="AA2" s="2" t="s">
        <v>9</v>
      </c>
      <c r="AB2" s="2" t="s">
        <v>9</v>
      </c>
      <c r="AC2" s="2" t="s">
        <v>9</v>
      </c>
      <c r="AD2" s="2" t="s">
        <v>9</v>
      </c>
      <c r="AE2" s="2" t="s">
        <v>9</v>
      </c>
      <c r="AF2" s="2" t="s">
        <v>9</v>
      </c>
      <c r="AG2" s="2" t="s">
        <v>9</v>
      </c>
      <c r="AH2" s="2" t="s">
        <v>9</v>
      </c>
      <c r="AI2" s="2" t="s">
        <v>9</v>
      </c>
      <c r="AJ2" s="2" t="s">
        <v>9</v>
      </c>
      <c r="AK2" s="2" t="s">
        <v>9</v>
      </c>
      <c r="AL2" s="2" t="s">
        <v>9</v>
      </c>
      <c r="AM2" s="2" t="s">
        <v>9</v>
      </c>
      <c r="AN2" s="2" t="s">
        <v>9</v>
      </c>
      <c r="AO2" s="2" t="s">
        <v>9</v>
      </c>
      <c r="AP2" s="2" t="s">
        <v>9</v>
      </c>
      <c r="AQ2" s="2" t="s">
        <v>9</v>
      </c>
      <c r="AR2" s="2" t="s">
        <v>9</v>
      </c>
      <c r="AS2" s="2" t="s">
        <v>9</v>
      </c>
      <c r="AT2" s="2" t="s">
        <v>9</v>
      </c>
      <c r="AU2" s="2" t="s">
        <v>9</v>
      </c>
      <c r="AV2" s="2" t="s">
        <v>9</v>
      </c>
      <c r="AW2" s="2" t="s">
        <v>9</v>
      </c>
      <c r="AX2" s="2" t="s">
        <v>9</v>
      </c>
      <c r="AY2" s="2" t="s">
        <v>9</v>
      </c>
      <c r="AZ2" s="2" t="s">
        <v>9</v>
      </c>
      <c r="BA2" s="2" t="s">
        <v>9</v>
      </c>
      <c r="BB2" s="2" t="s">
        <v>9</v>
      </c>
      <c r="BC2" s="2" t="s">
        <v>9</v>
      </c>
      <c r="BD2" s="2" t="s">
        <v>9</v>
      </c>
      <c r="BE2" s="2" t="s">
        <v>9</v>
      </c>
      <c r="BF2" s="2" t="s">
        <v>9</v>
      </c>
      <c r="BG2" s="2" t="s">
        <v>9</v>
      </c>
      <c r="BH2" s="2" t="s">
        <v>9</v>
      </c>
      <c r="BI2" s="2" t="s">
        <v>9</v>
      </c>
      <c r="BJ2" s="2" t="s">
        <v>9</v>
      </c>
      <c r="BK2" s="2" t="s">
        <v>9</v>
      </c>
      <c r="BL2" s="2" t="s">
        <v>9</v>
      </c>
      <c r="BM2" s="2" t="s">
        <v>9</v>
      </c>
      <c r="BN2" s="2" t="s">
        <v>9</v>
      </c>
      <c r="BO2" s="2" t="s">
        <v>9</v>
      </c>
      <c r="BP2" s="2" t="s">
        <v>9</v>
      </c>
      <c r="BQ2" s="2" t="s">
        <v>9</v>
      </c>
      <c r="BR2" s="2" t="s">
        <v>9</v>
      </c>
      <c r="BS2" s="2" t="s">
        <v>9</v>
      </c>
      <c r="BT2" s="2" t="s">
        <v>9</v>
      </c>
      <c r="BU2" s="2" t="s">
        <v>9</v>
      </c>
      <c r="BV2" s="2" t="s">
        <v>9</v>
      </c>
      <c r="BW2" s="2" t="s">
        <v>9</v>
      </c>
      <c r="BX2" s="2" t="s">
        <v>9</v>
      </c>
      <c r="BY2" s="2" t="s">
        <v>9</v>
      </c>
      <c r="BZ2" s="2" t="s">
        <v>9</v>
      </c>
      <c r="CA2" s="2" t="s">
        <v>9</v>
      </c>
      <c r="CB2" s="2" t="s">
        <v>9</v>
      </c>
      <c r="CC2" s="2" t="s">
        <v>9</v>
      </c>
      <c r="CD2" s="2" t="s">
        <v>9</v>
      </c>
      <c r="CE2" s="2" t="s">
        <v>9</v>
      </c>
      <c r="CF2" s="2" t="s">
        <v>9</v>
      </c>
      <c r="CG2" s="2" t="s">
        <v>9</v>
      </c>
      <c r="CH2" s="2" t="s">
        <v>9</v>
      </c>
      <c r="CI2" s="2" t="s">
        <v>9</v>
      </c>
      <c r="CJ2" s="2" t="s">
        <v>9</v>
      </c>
      <c r="CK2" s="2" t="s">
        <v>9</v>
      </c>
      <c r="CL2" s="2" t="s">
        <v>9</v>
      </c>
      <c r="CM2" s="2" t="s">
        <v>9</v>
      </c>
      <c r="CN2" s="2" t="s">
        <v>9</v>
      </c>
      <c r="CO2" s="2" t="s">
        <v>9</v>
      </c>
      <c r="CP2" s="2" t="s">
        <v>9</v>
      </c>
      <c r="CQ2" s="2" t="s">
        <v>9</v>
      </c>
      <c r="CR2" s="2" t="s">
        <v>9</v>
      </c>
      <c r="CS2" s="2" t="s">
        <v>9</v>
      </c>
      <c r="CT2" s="2" t="s">
        <v>9</v>
      </c>
      <c r="CU2" s="2" t="s">
        <v>9</v>
      </c>
      <c r="CV2" s="2" t="s">
        <v>9</v>
      </c>
      <c r="CW2" s="2" t="s">
        <v>9</v>
      </c>
      <c r="CX2" s="2" t="s">
        <v>9</v>
      </c>
      <c r="CY2" s="2" t="s">
        <v>9</v>
      </c>
      <c r="CZ2" s="2" t="s">
        <v>9</v>
      </c>
      <c r="DA2" s="2" t="s">
        <v>9</v>
      </c>
      <c r="DB2" s="2" t="s">
        <v>9</v>
      </c>
      <c r="DC2" s="2" t="s">
        <v>9</v>
      </c>
      <c r="DD2" s="2" t="s">
        <v>9</v>
      </c>
      <c r="DE2" s="2" t="s">
        <v>9</v>
      </c>
      <c r="DF2" s="2" t="s">
        <v>9</v>
      </c>
      <c r="DG2" s="2" t="s">
        <v>9</v>
      </c>
      <c r="DH2" s="2" t="s">
        <v>9</v>
      </c>
      <c r="DI2" s="2" t="s">
        <v>9</v>
      </c>
      <c r="DJ2" s="2" t="s">
        <v>9</v>
      </c>
      <c r="DK2" s="2" t="s">
        <v>9</v>
      </c>
      <c r="DL2" s="2" t="s">
        <v>9</v>
      </c>
      <c r="DM2" s="2" t="s">
        <v>9</v>
      </c>
      <c r="DN2" s="2" t="s">
        <v>9</v>
      </c>
      <c r="DO2" s="2" t="s">
        <v>9</v>
      </c>
      <c r="DP2" s="2" t="s">
        <v>9</v>
      </c>
      <c r="DQ2" s="2" t="s">
        <v>9</v>
      </c>
      <c r="DR2" s="2" t="s">
        <v>9</v>
      </c>
      <c r="DS2" s="2" t="s">
        <v>9</v>
      </c>
      <c r="DT2" s="2" t="s">
        <v>9</v>
      </c>
      <c r="DU2" s="2" t="s">
        <v>9</v>
      </c>
      <c r="DV2" s="2" t="s">
        <v>9</v>
      </c>
      <c r="DW2" s="2" t="s">
        <v>9</v>
      </c>
      <c r="DX2" s="2" t="s">
        <v>9</v>
      </c>
      <c r="DY2" s="2" t="s">
        <v>9</v>
      </c>
      <c r="DZ2" s="2" t="s">
        <v>9</v>
      </c>
      <c r="EA2" s="2" t="s">
        <v>9</v>
      </c>
      <c r="EB2" s="2" t="s">
        <v>9</v>
      </c>
      <c r="EC2" s="2" t="s">
        <v>9</v>
      </c>
      <c r="ED2" s="2" t="s">
        <v>9</v>
      </c>
      <c r="EE2" s="2" t="s">
        <v>9</v>
      </c>
      <c r="EF2" s="2" t="s">
        <v>9</v>
      </c>
      <c r="EG2" s="2" t="s">
        <v>9</v>
      </c>
      <c r="EH2" s="2" t="s">
        <v>9</v>
      </c>
      <c r="EI2" s="2" t="s">
        <v>9</v>
      </c>
      <c r="EJ2" s="2" t="s">
        <v>9</v>
      </c>
      <c r="EK2" s="2" t="s">
        <v>9</v>
      </c>
      <c r="EL2" s="2" t="s">
        <v>9</v>
      </c>
      <c r="EM2" s="2" t="s">
        <v>9</v>
      </c>
      <c r="EN2" s="2" t="s">
        <v>9</v>
      </c>
      <c r="EO2" s="2" t="s">
        <v>9</v>
      </c>
      <c r="EP2" s="2" t="s">
        <v>9</v>
      </c>
      <c r="EQ2" s="2" t="s">
        <v>9</v>
      </c>
      <c r="ER2" s="2" t="s">
        <v>9</v>
      </c>
      <c r="ES2" s="2" t="s">
        <v>9</v>
      </c>
      <c r="ET2" s="2" t="s">
        <v>9</v>
      </c>
      <c r="EU2" s="2" t="s">
        <v>9</v>
      </c>
      <c r="EV2" s="2" t="s">
        <v>9</v>
      </c>
      <c r="EW2" s="2" t="s">
        <v>9</v>
      </c>
      <c r="EX2" s="2" t="s">
        <v>9</v>
      </c>
      <c r="EY2" s="2" t="s">
        <v>9</v>
      </c>
      <c r="EZ2" s="2" t="s">
        <v>9</v>
      </c>
      <c r="FA2" s="2" t="s">
        <v>9</v>
      </c>
      <c r="FB2" s="2" t="s">
        <v>9</v>
      </c>
      <c r="FC2" s="2" t="s">
        <v>9</v>
      </c>
      <c r="FD2" s="2" t="s">
        <v>9</v>
      </c>
      <c r="FE2" s="2" t="s">
        <v>9</v>
      </c>
      <c r="FF2" s="2" t="s">
        <v>9</v>
      </c>
      <c r="FG2" s="2" t="s">
        <v>9</v>
      </c>
      <c r="FH2" s="2" t="s">
        <v>9</v>
      </c>
      <c r="FI2" s="2" t="s">
        <v>9</v>
      </c>
      <c r="FJ2" s="2" t="s">
        <v>9</v>
      </c>
      <c r="FK2" s="2" t="s">
        <v>9</v>
      </c>
      <c r="FL2" s="2" t="s">
        <v>9</v>
      </c>
      <c r="FM2" s="2" t="s">
        <v>9</v>
      </c>
      <c r="FN2" s="2" t="s">
        <v>9</v>
      </c>
      <c r="FO2" s="2" t="s">
        <v>9</v>
      </c>
      <c r="FP2" s="2" t="s">
        <v>9</v>
      </c>
      <c r="FQ2" s="2" t="s">
        <v>9</v>
      </c>
      <c r="FR2" s="2" t="s">
        <v>9</v>
      </c>
      <c r="FS2" s="2" t="s">
        <v>9</v>
      </c>
      <c r="FT2" s="2" t="s">
        <v>9</v>
      </c>
      <c r="FU2" s="2" t="s">
        <v>9</v>
      </c>
      <c r="FV2" s="2" t="s">
        <v>9</v>
      </c>
      <c r="FW2" s="2" t="s">
        <v>9</v>
      </c>
      <c r="FX2" s="2" t="s">
        <v>9</v>
      </c>
      <c r="FY2" s="2" t="s">
        <v>9</v>
      </c>
      <c r="FZ2" s="2" t="s">
        <v>9</v>
      </c>
      <c r="GA2" s="2" t="s">
        <v>9</v>
      </c>
      <c r="GB2" s="2" t="s">
        <v>9</v>
      </c>
      <c r="GC2" s="2" t="s">
        <v>9</v>
      </c>
      <c r="GD2" s="2" t="s">
        <v>9</v>
      </c>
      <c r="GE2" s="2" t="s">
        <v>9</v>
      </c>
      <c r="GF2" s="2" t="s">
        <v>9</v>
      </c>
      <c r="GG2" s="2" t="s">
        <v>9</v>
      </c>
      <c r="GH2" s="2" t="s">
        <v>9</v>
      </c>
      <c r="GI2" s="2" t="s">
        <v>9</v>
      </c>
      <c r="GJ2" s="2" t="s">
        <v>9</v>
      </c>
      <c r="GK2" s="2" t="s">
        <v>9</v>
      </c>
      <c r="GL2" s="2" t="s">
        <v>9</v>
      </c>
      <c r="GM2" s="2" t="s">
        <v>9</v>
      </c>
      <c r="GN2" s="2" t="s">
        <v>9</v>
      </c>
      <c r="GO2" s="2" t="s">
        <v>9</v>
      </c>
      <c r="GP2" s="2" t="s">
        <v>9</v>
      </c>
      <c r="GQ2" s="2" t="s">
        <v>9</v>
      </c>
      <c r="GR2" s="2" t="s">
        <v>9</v>
      </c>
      <c r="GS2" s="2" t="s">
        <v>9</v>
      </c>
      <c r="GT2" s="2" t="s">
        <v>9</v>
      </c>
      <c r="GU2" s="2" t="s">
        <v>9</v>
      </c>
      <c r="GV2" s="2" t="s">
        <v>9</v>
      </c>
      <c r="GW2" s="2" t="s">
        <v>9</v>
      </c>
      <c r="GX2" s="2" t="s">
        <v>9</v>
      </c>
      <c r="GY2" s="2" t="s">
        <v>9</v>
      </c>
      <c r="GZ2" s="2" t="s">
        <v>9</v>
      </c>
      <c r="HA2" s="2" t="s">
        <v>9</v>
      </c>
      <c r="HB2" s="2" t="s">
        <v>9</v>
      </c>
      <c r="HC2" s="2" t="s">
        <v>9</v>
      </c>
      <c r="HD2" s="2" t="s">
        <v>9</v>
      </c>
      <c r="HE2" s="2" t="s">
        <v>9</v>
      </c>
      <c r="HF2" s="2" t="s">
        <v>9</v>
      </c>
      <c r="HG2" s="2" t="s">
        <v>9</v>
      </c>
      <c r="HH2" s="2" t="s">
        <v>9</v>
      </c>
      <c r="HI2" s="2" t="s">
        <v>9</v>
      </c>
      <c r="HJ2" s="2" t="s">
        <v>9</v>
      </c>
      <c r="HK2" s="2" t="s">
        <v>9</v>
      </c>
      <c r="HL2" s="2" t="s">
        <v>9</v>
      </c>
      <c r="HM2" s="2" t="s">
        <v>9</v>
      </c>
      <c r="HN2" s="2" t="s">
        <v>9</v>
      </c>
      <c r="HO2" s="2" t="s">
        <v>9</v>
      </c>
      <c r="HP2" s="2" t="s">
        <v>9</v>
      </c>
      <c r="HQ2" s="2" t="s">
        <v>9</v>
      </c>
      <c r="HR2" s="2" t="s">
        <v>9</v>
      </c>
      <c r="HS2" s="2" t="s">
        <v>9</v>
      </c>
      <c r="HT2" s="2" t="s">
        <v>9</v>
      </c>
      <c r="HU2" s="2" t="s">
        <v>9</v>
      </c>
      <c r="HV2" s="2" t="s">
        <v>9</v>
      </c>
      <c r="HW2" s="2" t="s">
        <v>9</v>
      </c>
      <c r="HX2" s="2" t="s">
        <v>9</v>
      </c>
      <c r="HY2" s="2" t="s">
        <v>9</v>
      </c>
      <c r="HZ2" s="2" t="s">
        <v>9</v>
      </c>
      <c r="IA2" s="2" t="s">
        <v>9</v>
      </c>
      <c r="IB2" s="2" t="s">
        <v>9</v>
      </c>
      <c r="IC2" s="2" t="s">
        <v>9</v>
      </c>
      <c r="ID2" s="2" t="s">
        <v>9</v>
      </c>
      <c r="IE2" s="2" t="s">
        <v>9</v>
      </c>
      <c r="IF2" s="2" t="s">
        <v>9</v>
      </c>
      <c r="IG2" s="2" t="s">
        <v>9</v>
      </c>
    </row>
    <row r="3" spans="1:241" x14ac:dyDescent="0.25">
      <c r="A3" s="1" t="s">
        <v>10</v>
      </c>
      <c r="B3" s="3" t="s">
        <v>11</v>
      </c>
      <c r="C3" s="3" t="s">
        <v>12</v>
      </c>
      <c r="D3" s="3" t="s">
        <v>13</v>
      </c>
      <c r="E3" s="3" t="s">
        <v>14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19</v>
      </c>
      <c r="K3" s="3" t="s">
        <v>20</v>
      </c>
      <c r="L3" s="3" t="s">
        <v>21</v>
      </c>
      <c r="M3" s="3" t="s">
        <v>22</v>
      </c>
      <c r="N3" s="3" t="s">
        <v>23</v>
      </c>
      <c r="O3" s="3" t="s">
        <v>24</v>
      </c>
      <c r="P3" s="3" t="s">
        <v>25</v>
      </c>
      <c r="Q3" s="3" t="s">
        <v>26</v>
      </c>
      <c r="R3" s="3" t="s">
        <v>27</v>
      </c>
      <c r="S3" s="3" t="s">
        <v>28</v>
      </c>
      <c r="T3" s="3" t="s">
        <v>29</v>
      </c>
      <c r="U3" s="3" t="s">
        <v>30</v>
      </c>
      <c r="V3" s="3" t="s">
        <v>31</v>
      </c>
      <c r="W3" s="3" t="s">
        <v>32</v>
      </c>
      <c r="X3" s="3" t="s">
        <v>33</v>
      </c>
      <c r="Y3" s="3" t="s">
        <v>34</v>
      </c>
      <c r="Z3" s="3" t="s">
        <v>11</v>
      </c>
      <c r="AA3" s="3" t="s">
        <v>12</v>
      </c>
      <c r="AB3" s="3" t="s">
        <v>13</v>
      </c>
      <c r="AC3" s="3" t="s">
        <v>14</v>
      </c>
      <c r="AD3" s="3" t="s">
        <v>15</v>
      </c>
      <c r="AE3" s="3" t="s">
        <v>16</v>
      </c>
      <c r="AF3" s="3" t="s">
        <v>17</v>
      </c>
      <c r="AG3" s="3" t="s">
        <v>18</v>
      </c>
      <c r="AH3" s="3" t="s">
        <v>19</v>
      </c>
      <c r="AI3" s="3" t="s">
        <v>20</v>
      </c>
      <c r="AJ3" s="3" t="s">
        <v>21</v>
      </c>
      <c r="AK3" s="3" t="s">
        <v>22</v>
      </c>
      <c r="AL3" s="3" t="s">
        <v>23</v>
      </c>
      <c r="AM3" s="3" t="s">
        <v>24</v>
      </c>
      <c r="AN3" s="3" t="s">
        <v>25</v>
      </c>
      <c r="AO3" s="3" t="s">
        <v>26</v>
      </c>
      <c r="AP3" s="3" t="s">
        <v>27</v>
      </c>
      <c r="AQ3" s="3" t="s">
        <v>28</v>
      </c>
      <c r="AR3" s="3" t="s">
        <v>29</v>
      </c>
      <c r="AS3" s="3" t="s">
        <v>30</v>
      </c>
      <c r="AT3" s="3" t="s">
        <v>31</v>
      </c>
      <c r="AU3" s="3" t="s">
        <v>32</v>
      </c>
      <c r="AV3" s="3" t="s">
        <v>33</v>
      </c>
      <c r="AW3" s="3" t="s">
        <v>34</v>
      </c>
      <c r="AX3" s="3" t="s">
        <v>11</v>
      </c>
      <c r="AY3" s="3" t="s">
        <v>12</v>
      </c>
      <c r="AZ3" s="3" t="s">
        <v>13</v>
      </c>
      <c r="BA3" s="3" t="s">
        <v>14</v>
      </c>
      <c r="BB3" s="3" t="s">
        <v>15</v>
      </c>
      <c r="BC3" s="3" t="s">
        <v>16</v>
      </c>
      <c r="BD3" s="3" t="s">
        <v>17</v>
      </c>
      <c r="BE3" s="3" t="s">
        <v>18</v>
      </c>
      <c r="BF3" s="3" t="s">
        <v>19</v>
      </c>
      <c r="BG3" s="3" t="s">
        <v>20</v>
      </c>
      <c r="BH3" s="3" t="s">
        <v>21</v>
      </c>
      <c r="BI3" s="3" t="s">
        <v>22</v>
      </c>
      <c r="BJ3" s="3" t="s">
        <v>23</v>
      </c>
      <c r="BK3" s="3" t="s">
        <v>24</v>
      </c>
      <c r="BL3" s="3" t="s">
        <v>25</v>
      </c>
      <c r="BM3" s="3" t="s">
        <v>26</v>
      </c>
      <c r="BN3" s="3" t="s">
        <v>27</v>
      </c>
      <c r="BO3" s="3" t="s">
        <v>28</v>
      </c>
      <c r="BP3" s="3" t="s">
        <v>29</v>
      </c>
      <c r="BQ3" s="3" t="s">
        <v>30</v>
      </c>
      <c r="BR3" s="3" t="s">
        <v>31</v>
      </c>
      <c r="BS3" s="3" t="s">
        <v>32</v>
      </c>
      <c r="BT3" s="3" t="s">
        <v>33</v>
      </c>
      <c r="BU3" s="3" t="s">
        <v>34</v>
      </c>
      <c r="BV3" s="3" t="s">
        <v>11</v>
      </c>
      <c r="BW3" s="3" t="s">
        <v>12</v>
      </c>
      <c r="BX3" s="3" t="s">
        <v>13</v>
      </c>
      <c r="BY3" s="3" t="s">
        <v>14</v>
      </c>
      <c r="BZ3" s="3" t="s">
        <v>15</v>
      </c>
      <c r="CA3" s="3" t="s">
        <v>16</v>
      </c>
      <c r="CB3" s="3" t="s">
        <v>17</v>
      </c>
      <c r="CC3" s="3" t="s">
        <v>18</v>
      </c>
      <c r="CD3" s="3" t="s">
        <v>19</v>
      </c>
      <c r="CE3" s="3" t="s">
        <v>20</v>
      </c>
      <c r="CF3" s="3" t="s">
        <v>21</v>
      </c>
      <c r="CG3" s="3" t="s">
        <v>22</v>
      </c>
      <c r="CH3" s="3" t="s">
        <v>23</v>
      </c>
      <c r="CI3" s="3" t="s">
        <v>24</v>
      </c>
      <c r="CJ3" s="3" t="s">
        <v>25</v>
      </c>
      <c r="CK3" s="3" t="s">
        <v>26</v>
      </c>
      <c r="CL3" s="3" t="s">
        <v>27</v>
      </c>
      <c r="CM3" s="3" t="s">
        <v>28</v>
      </c>
      <c r="CN3" s="3" t="s">
        <v>29</v>
      </c>
      <c r="CO3" s="3" t="s">
        <v>30</v>
      </c>
      <c r="CP3" s="3" t="s">
        <v>31</v>
      </c>
      <c r="CQ3" s="3" t="s">
        <v>32</v>
      </c>
      <c r="CR3" s="3" t="s">
        <v>33</v>
      </c>
      <c r="CS3" s="3" t="s">
        <v>34</v>
      </c>
      <c r="CT3" s="3" t="s">
        <v>11</v>
      </c>
      <c r="CU3" s="3" t="s">
        <v>12</v>
      </c>
      <c r="CV3" s="3" t="s">
        <v>13</v>
      </c>
      <c r="CW3" s="3" t="s">
        <v>14</v>
      </c>
      <c r="CX3" s="3" t="s">
        <v>15</v>
      </c>
      <c r="CY3" s="3" t="s">
        <v>16</v>
      </c>
      <c r="CZ3" s="3" t="s">
        <v>17</v>
      </c>
      <c r="DA3" s="3" t="s">
        <v>18</v>
      </c>
      <c r="DB3" s="3" t="s">
        <v>19</v>
      </c>
      <c r="DC3" s="3" t="s">
        <v>20</v>
      </c>
      <c r="DD3" s="3" t="s">
        <v>21</v>
      </c>
      <c r="DE3" s="3" t="s">
        <v>22</v>
      </c>
      <c r="DF3" s="3" t="s">
        <v>23</v>
      </c>
      <c r="DG3" s="3" t="s">
        <v>24</v>
      </c>
      <c r="DH3" s="3" t="s">
        <v>25</v>
      </c>
      <c r="DI3" s="3" t="s">
        <v>26</v>
      </c>
      <c r="DJ3" s="3" t="s">
        <v>27</v>
      </c>
      <c r="DK3" s="3" t="s">
        <v>28</v>
      </c>
      <c r="DL3" s="3" t="s">
        <v>29</v>
      </c>
      <c r="DM3" s="3" t="s">
        <v>30</v>
      </c>
      <c r="DN3" s="3" t="s">
        <v>31</v>
      </c>
      <c r="DO3" s="3" t="s">
        <v>32</v>
      </c>
      <c r="DP3" s="3" t="s">
        <v>33</v>
      </c>
      <c r="DQ3" s="3" t="s">
        <v>34</v>
      </c>
      <c r="DR3" s="3" t="s">
        <v>11</v>
      </c>
      <c r="DS3" s="3" t="s">
        <v>12</v>
      </c>
      <c r="DT3" s="3" t="s">
        <v>13</v>
      </c>
      <c r="DU3" s="3" t="s">
        <v>14</v>
      </c>
      <c r="DV3" s="3" t="s">
        <v>15</v>
      </c>
      <c r="DW3" s="3" t="s">
        <v>16</v>
      </c>
      <c r="DX3" s="3" t="s">
        <v>17</v>
      </c>
      <c r="DY3" s="3" t="s">
        <v>18</v>
      </c>
      <c r="DZ3" s="3" t="s">
        <v>19</v>
      </c>
      <c r="EA3" s="3" t="s">
        <v>20</v>
      </c>
      <c r="EB3" s="3" t="s">
        <v>21</v>
      </c>
      <c r="EC3" s="3" t="s">
        <v>22</v>
      </c>
      <c r="ED3" s="3" t="s">
        <v>23</v>
      </c>
      <c r="EE3" s="3" t="s">
        <v>24</v>
      </c>
      <c r="EF3" s="3" t="s">
        <v>25</v>
      </c>
      <c r="EG3" s="3" t="s">
        <v>26</v>
      </c>
      <c r="EH3" s="3" t="s">
        <v>27</v>
      </c>
      <c r="EI3" s="3" t="s">
        <v>28</v>
      </c>
      <c r="EJ3" s="3" t="s">
        <v>29</v>
      </c>
      <c r="EK3" s="3" t="s">
        <v>30</v>
      </c>
      <c r="EL3" s="3" t="s">
        <v>31</v>
      </c>
      <c r="EM3" s="3" t="s">
        <v>32</v>
      </c>
      <c r="EN3" s="3" t="s">
        <v>33</v>
      </c>
      <c r="EO3" s="3" t="s">
        <v>34</v>
      </c>
      <c r="EP3" s="3" t="s">
        <v>11</v>
      </c>
      <c r="EQ3" s="3" t="s">
        <v>12</v>
      </c>
      <c r="ER3" s="3" t="s">
        <v>13</v>
      </c>
      <c r="ES3" s="3" t="s">
        <v>14</v>
      </c>
      <c r="ET3" s="3" t="s">
        <v>15</v>
      </c>
      <c r="EU3" s="3" t="s">
        <v>16</v>
      </c>
      <c r="EV3" s="3" t="s">
        <v>17</v>
      </c>
      <c r="EW3" s="3" t="s">
        <v>18</v>
      </c>
      <c r="EX3" s="3" t="s">
        <v>19</v>
      </c>
      <c r="EY3" s="3" t="s">
        <v>20</v>
      </c>
      <c r="EZ3" s="3" t="s">
        <v>21</v>
      </c>
      <c r="FA3" s="3" t="s">
        <v>22</v>
      </c>
      <c r="FB3" s="3" t="s">
        <v>23</v>
      </c>
      <c r="FC3" s="3" t="s">
        <v>24</v>
      </c>
      <c r="FD3" s="3" t="s">
        <v>25</v>
      </c>
      <c r="FE3" s="3" t="s">
        <v>26</v>
      </c>
      <c r="FF3" s="3" t="s">
        <v>27</v>
      </c>
      <c r="FG3" s="3" t="s">
        <v>28</v>
      </c>
      <c r="FH3" s="3" t="s">
        <v>29</v>
      </c>
      <c r="FI3" s="3" t="s">
        <v>30</v>
      </c>
      <c r="FJ3" s="3" t="s">
        <v>31</v>
      </c>
      <c r="FK3" s="3" t="s">
        <v>32</v>
      </c>
      <c r="FL3" s="3" t="s">
        <v>33</v>
      </c>
      <c r="FM3" s="3" t="s">
        <v>34</v>
      </c>
      <c r="FN3" s="7" t="s">
        <v>11</v>
      </c>
      <c r="FO3" s="7" t="s">
        <v>12</v>
      </c>
      <c r="FP3" s="7" t="s">
        <v>13</v>
      </c>
      <c r="FQ3" s="7" t="s">
        <v>14</v>
      </c>
      <c r="FR3" s="7" t="s">
        <v>15</v>
      </c>
      <c r="FS3" s="7" t="s">
        <v>16</v>
      </c>
      <c r="FT3" s="7" t="s">
        <v>17</v>
      </c>
      <c r="FU3" s="7" t="s">
        <v>18</v>
      </c>
      <c r="FV3" s="7" t="s">
        <v>19</v>
      </c>
      <c r="FW3" s="7" t="s">
        <v>20</v>
      </c>
      <c r="FX3" s="7" t="s">
        <v>21</v>
      </c>
      <c r="FY3" s="7" t="s">
        <v>22</v>
      </c>
      <c r="FZ3" s="7" t="s">
        <v>23</v>
      </c>
      <c r="GA3" s="7" t="s">
        <v>24</v>
      </c>
      <c r="GB3" s="7" t="s">
        <v>25</v>
      </c>
      <c r="GC3" s="7" t="s">
        <v>26</v>
      </c>
      <c r="GD3" s="7" t="s">
        <v>27</v>
      </c>
      <c r="GE3" s="7" t="s">
        <v>28</v>
      </c>
      <c r="GF3" s="7" t="s">
        <v>29</v>
      </c>
      <c r="GG3" s="7" t="s">
        <v>30</v>
      </c>
      <c r="GH3" s="7" t="s">
        <v>31</v>
      </c>
      <c r="GI3" s="7" t="s">
        <v>32</v>
      </c>
      <c r="GJ3" s="7" t="s">
        <v>33</v>
      </c>
      <c r="GK3" s="7" t="s">
        <v>34</v>
      </c>
      <c r="GL3" s="3" t="s">
        <v>11</v>
      </c>
      <c r="GM3" s="3" t="s">
        <v>12</v>
      </c>
      <c r="GN3" s="3" t="s">
        <v>13</v>
      </c>
      <c r="GO3" s="3" t="s">
        <v>14</v>
      </c>
      <c r="GP3" s="3" t="s">
        <v>15</v>
      </c>
      <c r="GQ3" s="3" t="s">
        <v>16</v>
      </c>
      <c r="GR3" s="3" t="s">
        <v>17</v>
      </c>
      <c r="GS3" s="3" t="s">
        <v>18</v>
      </c>
      <c r="GT3" s="3" t="s">
        <v>19</v>
      </c>
      <c r="GU3" s="3" t="s">
        <v>20</v>
      </c>
      <c r="GV3" s="3" t="s">
        <v>21</v>
      </c>
      <c r="GW3" s="3" t="s">
        <v>22</v>
      </c>
      <c r="GX3" s="3" t="s">
        <v>23</v>
      </c>
      <c r="GY3" s="3" t="s">
        <v>24</v>
      </c>
      <c r="GZ3" s="3" t="s">
        <v>25</v>
      </c>
      <c r="HA3" s="3" t="s">
        <v>26</v>
      </c>
      <c r="HB3" s="3" t="s">
        <v>27</v>
      </c>
      <c r="HC3" s="3" t="s">
        <v>28</v>
      </c>
      <c r="HD3" s="3" t="s">
        <v>29</v>
      </c>
      <c r="HE3" s="3" t="s">
        <v>30</v>
      </c>
      <c r="HF3" s="3" t="s">
        <v>31</v>
      </c>
      <c r="HG3" s="3" t="s">
        <v>32</v>
      </c>
      <c r="HH3" s="3" t="s">
        <v>33</v>
      </c>
      <c r="HI3" s="3" t="s">
        <v>34</v>
      </c>
      <c r="HJ3" s="3" t="s">
        <v>11</v>
      </c>
      <c r="HK3" s="3" t="s">
        <v>12</v>
      </c>
      <c r="HL3" s="3" t="s">
        <v>13</v>
      </c>
      <c r="HM3" s="3" t="s">
        <v>14</v>
      </c>
      <c r="HN3" s="3" t="s">
        <v>15</v>
      </c>
      <c r="HO3" s="3" t="s">
        <v>16</v>
      </c>
      <c r="HP3" s="3" t="s">
        <v>17</v>
      </c>
      <c r="HQ3" s="3" t="s">
        <v>18</v>
      </c>
      <c r="HR3" s="3" t="s">
        <v>19</v>
      </c>
      <c r="HS3" s="3" t="s">
        <v>20</v>
      </c>
      <c r="HT3" s="3" t="s">
        <v>21</v>
      </c>
      <c r="HU3" s="3" t="s">
        <v>22</v>
      </c>
      <c r="HV3" s="3" t="s">
        <v>23</v>
      </c>
      <c r="HW3" s="3" t="s">
        <v>24</v>
      </c>
      <c r="HX3" s="3" t="s">
        <v>25</v>
      </c>
      <c r="HY3" s="3" t="s">
        <v>26</v>
      </c>
      <c r="HZ3" s="3" t="s">
        <v>27</v>
      </c>
      <c r="IA3" s="3" t="s">
        <v>28</v>
      </c>
      <c r="IB3" s="3" t="s">
        <v>29</v>
      </c>
      <c r="IC3" s="3" t="s">
        <v>30</v>
      </c>
      <c r="ID3" s="3" t="s">
        <v>31</v>
      </c>
      <c r="IE3" s="3" t="s">
        <v>32</v>
      </c>
      <c r="IF3" s="3" t="s">
        <v>33</v>
      </c>
      <c r="IG3" s="3" t="s">
        <v>34</v>
      </c>
    </row>
    <row r="4" spans="1:241" ht="15" customHeight="1" x14ac:dyDescent="0.25">
      <c r="A4" s="30" t="s">
        <v>35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6"/>
      <c r="BU4" s="6"/>
      <c r="BV4" s="6"/>
      <c r="BW4" s="6"/>
      <c r="BX4" s="6"/>
      <c r="BY4" s="6"/>
      <c r="BZ4" s="6"/>
      <c r="CA4" s="6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6"/>
      <c r="CS4" s="6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6"/>
      <c r="IG4" s="6"/>
    </row>
    <row r="5" spans="1:241" x14ac:dyDescent="0.25">
      <c r="A5" s="22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6"/>
      <c r="BU5" s="6"/>
      <c r="BV5" s="6"/>
      <c r="BW5" s="6"/>
      <c r="BX5" s="6"/>
      <c r="BY5" s="6"/>
      <c r="BZ5" s="6"/>
      <c r="CA5" s="6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6"/>
      <c r="CS5" s="6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6"/>
      <c r="IG5" s="6"/>
    </row>
    <row r="6" spans="1:241" x14ac:dyDescent="0.25">
      <c r="A6" s="22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6"/>
      <c r="BU6" s="6"/>
      <c r="BV6" s="6"/>
      <c r="BW6" s="6"/>
      <c r="BX6" s="6"/>
      <c r="BY6" s="6"/>
      <c r="BZ6" s="6"/>
      <c r="CA6" s="6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6"/>
      <c r="CS6" s="6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6"/>
      <c r="IG6" s="6"/>
    </row>
    <row r="7" spans="1:241" x14ac:dyDescent="0.25">
      <c r="A7" s="22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6"/>
      <c r="BU7" s="6"/>
      <c r="BV7" s="6"/>
      <c r="BW7" s="6"/>
      <c r="BX7" s="6"/>
      <c r="BY7" s="6"/>
      <c r="BZ7" s="6"/>
      <c r="CA7" s="6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6"/>
      <c r="CS7" s="6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6"/>
      <c r="IG7" s="6"/>
    </row>
    <row r="8" spans="1:241" ht="15" customHeight="1" x14ac:dyDescent="0.25">
      <c r="A8" s="30" t="s">
        <v>36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6"/>
      <c r="BU8" s="6"/>
      <c r="BV8" s="6"/>
      <c r="BW8" s="6"/>
      <c r="BX8" s="6"/>
      <c r="BY8" s="6"/>
      <c r="BZ8" s="6"/>
      <c r="CA8" s="6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6"/>
      <c r="CS8" s="6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6"/>
      <c r="IG8" s="6"/>
    </row>
    <row r="9" spans="1:241" x14ac:dyDescent="0.25">
      <c r="A9" s="22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6"/>
      <c r="BU9" s="6"/>
      <c r="BV9" s="6"/>
      <c r="BW9" s="6"/>
      <c r="BX9" s="6"/>
      <c r="BY9" s="6"/>
      <c r="BZ9" s="6"/>
      <c r="CA9" s="6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6"/>
      <c r="CS9" s="6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6"/>
      <c r="IG9" s="6"/>
    </row>
    <row r="10" spans="1:241" x14ac:dyDescent="0.25">
      <c r="A10" s="22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6"/>
      <c r="BU10" s="6"/>
      <c r="BV10" s="6"/>
      <c r="BW10" s="6"/>
      <c r="BX10" s="6"/>
      <c r="BY10" s="6"/>
      <c r="BZ10" s="6"/>
      <c r="CA10" s="6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6"/>
      <c r="CS10" s="6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8"/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/>
      <c r="GJ10" s="8"/>
      <c r="GK10" s="8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6"/>
      <c r="IG10" s="6"/>
    </row>
    <row r="11" spans="1:241" x14ac:dyDescent="0.25">
      <c r="A11" s="22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6"/>
      <c r="BU11" s="6"/>
      <c r="BV11" s="6"/>
      <c r="BW11" s="6"/>
      <c r="BX11" s="6"/>
      <c r="BY11" s="6"/>
      <c r="BZ11" s="6"/>
      <c r="CA11" s="6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6"/>
      <c r="CS11" s="6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6"/>
      <c r="IG11" s="6"/>
    </row>
    <row r="12" spans="1:241" x14ac:dyDescent="0.25">
      <c r="A12" s="30" t="s">
        <v>37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6"/>
      <c r="BU12" s="6"/>
      <c r="BV12" s="6"/>
      <c r="BW12" s="6"/>
      <c r="BX12" s="6"/>
      <c r="BY12" s="6"/>
      <c r="BZ12" s="6"/>
      <c r="CA12" s="6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6"/>
      <c r="CS12" s="6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6"/>
      <c r="IG12" s="6"/>
    </row>
    <row r="13" spans="1:241" x14ac:dyDescent="0.25">
      <c r="A13" s="22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6"/>
      <c r="BU13" s="6"/>
      <c r="BV13" s="6"/>
      <c r="BW13" s="6"/>
      <c r="BX13" s="6"/>
      <c r="BY13" s="6"/>
      <c r="BZ13" s="6"/>
      <c r="CA13" s="6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6"/>
      <c r="CS13" s="6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6"/>
      <c r="IG13" s="6"/>
    </row>
    <row r="14" spans="1:241" x14ac:dyDescent="0.25">
      <c r="A14" s="22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6"/>
      <c r="BU14" s="6"/>
      <c r="BV14" s="6"/>
      <c r="BW14" s="6"/>
      <c r="BX14" s="6"/>
      <c r="BY14" s="6"/>
      <c r="BZ14" s="6"/>
      <c r="CA14" s="6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6"/>
      <c r="CS14" s="6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6"/>
      <c r="IG14" s="6"/>
    </row>
    <row r="15" spans="1:241" x14ac:dyDescent="0.25">
      <c r="A15" s="2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6"/>
      <c r="BU15" s="6"/>
      <c r="BV15" s="6"/>
      <c r="BW15" s="6"/>
      <c r="BX15" s="6"/>
      <c r="BY15" s="6"/>
      <c r="BZ15" s="6"/>
      <c r="CA15" s="6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6"/>
      <c r="CS15" s="6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8"/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6"/>
      <c r="IG15" s="6"/>
    </row>
    <row r="16" spans="1:241" ht="15" customHeight="1" x14ac:dyDescent="0.25">
      <c r="A16" s="30" t="s">
        <v>38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6"/>
      <c r="BU16" s="6"/>
      <c r="BV16" s="6"/>
      <c r="BW16" s="6"/>
      <c r="BX16" s="6"/>
      <c r="BY16" s="6"/>
      <c r="BZ16" s="6"/>
      <c r="CA16" s="6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6"/>
      <c r="CS16" s="6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8"/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/>
      <c r="GF16" s="8"/>
      <c r="GG16" s="8"/>
      <c r="GH16" s="8"/>
      <c r="GI16" s="8"/>
      <c r="GJ16" s="8"/>
      <c r="GK16" s="8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6"/>
      <c r="IG16" s="6"/>
    </row>
    <row r="17" spans="1:241" x14ac:dyDescent="0.25">
      <c r="A17" s="22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6"/>
      <c r="BU17" s="6"/>
      <c r="BV17" s="6"/>
      <c r="BW17" s="6"/>
      <c r="BX17" s="6"/>
      <c r="BY17" s="6"/>
      <c r="BZ17" s="6"/>
      <c r="CA17" s="6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6"/>
      <c r="CS17" s="6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6"/>
      <c r="IG17" s="6"/>
    </row>
    <row r="18" spans="1:241" x14ac:dyDescent="0.25">
      <c r="A18" s="22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6"/>
      <c r="BU18" s="6"/>
      <c r="BV18" s="6"/>
      <c r="BW18" s="6"/>
      <c r="BX18" s="6"/>
      <c r="BY18" s="6"/>
      <c r="BZ18" s="6"/>
      <c r="CA18" s="6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6"/>
      <c r="CS18" s="6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6"/>
      <c r="IG18" s="6"/>
    </row>
    <row r="19" spans="1:241" x14ac:dyDescent="0.25">
      <c r="A19" s="22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6"/>
      <c r="BU19" s="6"/>
      <c r="BV19" s="6"/>
      <c r="BW19" s="6"/>
      <c r="BX19" s="6"/>
      <c r="BY19" s="6"/>
      <c r="BZ19" s="6"/>
      <c r="CA19" s="6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6"/>
      <c r="CS19" s="6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6"/>
      <c r="IG19" s="6"/>
    </row>
    <row r="20" spans="1:241" x14ac:dyDescent="0.25">
      <c r="A20" s="30" t="s">
        <v>39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6"/>
      <c r="BU20" s="6"/>
      <c r="BV20" s="6"/>
      <c r="BW20" s="6"/>
      <c r="BX20" s="6"/>
      <c r="BY20" s="6"/>
      <c r="BZ20" s="6"/>
      <c r="CA20" s="6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6"/>
      <c r="CS20" s="6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6"/>
      <c r="IG20" s="6"/>
    </row>
    <row r="21" spans="1:241" x14ac:dyDescent="0.25">
      <c r="A21" s="22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6"/>
      <c r="BU21" s="6"/>
      <c r="BV21" s="6"/>
      <c r="BW21" s="6"/>
      <c r="BX21" s="6"/>
      <c r="BY21" s="6"/>
      <c r="BZ21" s="6"/>
      <c r="CA21" s="6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6"/>
      <c r="CS21" s="6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6"/>
      <c r="IG21" s="6"/>
    </row>
    <row r="22" spans="1:241" x14ac:dyDescent="0.25">
      <c r="A22" s="22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6"/>
      <c r="BU22" s="6"/>
      <c r="BV22" s="6"/>
      <c r="BW22" s="6"/>
      <c r="BX22" s="6"/>
      <c r="BY22" s="6"/>
      <c r="BZ22" s="6"/>
      <c r="CA22" s="6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6"/>
      <c r="CS22" s="6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6"/>
      <c r="IG22" s="6"/>
    </row>
    <row r="23" spans="1:241" x14ac:dyDescent="0.25">
      <c r="A23" s="22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6"/>
      <c r="BU23" s="6"/>
      <c r="BV23" s="6"/>
      <c r="BW23" s="6"/>
      <c r="BX23" s="6"/>
      <c r="BY23" s="6"/>
      <c r="BZ23" s="6"/>
      <c r="CA23" s="6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6"/>
      <c r="CS23" s="6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6"/>
      <c r="IG23" s="6"/>
    </row>
    <row r="24" spans="1:241" x14ac:dyDescent="0.25">
      <c r="A24" s="30" t="s">
        <v>40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6"/>
      <c r="BU24" s="6"/>
      <c r="BV24" s="6"/>
      <c r="BW24" s="6"/>
      <c r="BX24" s="6"/>
      <c r="BY24" s="6"/>
      <c r="BZ24" s="6"/>
      <c r="CA24" s="6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6"/>
      <c r="CS24" s="6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6"/>
      <c r="IG24" s="6"/>
    </row>
    <row r="25" spans="1:241" x14ac:dyDescent="0.25">
      <c r="A25" s="22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6"/>
      <c r="BU25" s="6"/>
      <c r="BV25" s="6"/>
      <c r="BW25" s="6"/>
      <c r="BX25" s="6"/>
      <c r="BY25" s="6"/>
      <c r="BZ25" s="6"/>
      <c r="CA25" s="6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6"/>
      <c r="CS25" s="6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6"/>
      <c r="IG25" s="6"/>
    </row>
    <row r="26" spans="1:241" x14ac:dyDescent="0.25">
      <c r="A26" s="22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6"/>
      <c r="BU26" s="6"/>
      <c r="BV26" s="6"/>
      <c r="BW26" s="6"/>
      <c r="BX26" s="6"/>
      <c r="BY26" s="6"/>
      <c r="BZ26" s="6"/>
      <c r="CA26" s="6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6"/>
      <c r="CS26" s="6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6"/>
      <c r="IG26" s="6"/>
    </row>
    <row r="27" spans="1:241" x14ac:dyDescent="0.25">
      <c r="A27" s="22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6"/>
      <c r="BU27" s="6"/>
      <c r="BV27" s="6"/>
      <c r="BW27" s="6"/>
      <c r="BX27" s="6"/>
      <c r="BY27" s="6"/>
      <c r="BZ27" s="6"/>
      <c r="CA27" s="6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6"/>
      <c r="CS27" s="6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6"/>
      <c r="IG27" s="6"/>
    </row>
  </sheetData>
  <mergeCells count="16">
    <mergeCell ref="A24:A27"/>
    <mergeCell ref="A12:A15"/>
    <mergeCell ref="Z1:AW1"/>
    <mergeCell ref="A20:A23"/>
    <mergeCell ref="AX1:BU1"/>
    <mergeCell ref="B1:Y1"/>
    <mergeCell ref="A16:A19"/>
    <mergeCell ref="A4:A7"/>
    <mergeCell ref="A8:A11"/>
    <mergeCell ref="GL1:HI1"/>
    <mergeCell ref="HJ1:IG1"/>
    <mergeCell ref="BV1:CS1"/>
    <mergeCell ref="CT1:DQ1"/>
    <mergeCell ref="DR1:EO1"/>
    <mergeCell ref="EP1:FM1"/>
    <mergeCell ref="FN1:GK1"/>
  </mergeCells>
  <dataValidations count="1">
    <dataValidation type="date" operator="greaterThanOrEqual" allowBlank="1" showInputMessage="1" showErrorMessage="1" errorTitle="Mês do Planejamento" error="Informe uma data válida (ex.: 01/09/2026)." promptTitle="Mês do Planejamento" prompt="Digite o mês, ex.: 01/09/2026. O motor de cascata só altera operações deste mês." sqref="A1" xr:uid="{5B6E4717-2523-4695-9D1D-A3E49786CA1B}">
      <formula1>DATE(2020,1,1)</formula1>
    </dataValidation>
  </dataValidations>
  <pageMargins left="0.75" right="0.75" top="1" bottom="1" header="0.5" footer="0.5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F4A37-5F95-4688-9416-E87D79FA182C}">
  <sheetPr codeName="Planilha9"/>
  <dimension ref="A1:Q204"/>
  <sheetViews>
    <sheetView workbookViewId="0">
      <selection activeCell="D3" sqref="D3"/>
    </sheetView>
  </sheetViews>
  <sheetFormatPr defaultRowHeight="15" x14ac:dyDescent="0.25"/>
  <cols>
    <col min="1" max="1" width="32.140625" customWidth="1"/>
    <col min="2" max="2" width="18.7109375" customWidth="1"/>
    <col min="3" max="3" width="14.7109375" customWidth="1"/>
    <col min="4" max="4" width="18.7109375" customWidth="1"/>
    <col min="5" max="5" width="15.7109375" customWidth="1"/>
    <col min="6" max="6" width="12.7109375" customWidth="1"/>
    <col min="7" max="7" width="15.7109375" customWidth="1"/>
    <col min="8" max="8" width="12.7109375" customWidth="1"/>
    <col min="9" max="9" width="9.7109375" customWidth="1"/>
    <col min="10" max="10" width="28.7109375" customWidth="1"/>
    <col min="11" max="11" width="44.7109375" customWidth="1"/>
    <col min="12" max="12" width="3.7109375" customWidth="1"/>
    <col min="13" max="13" width="40.7109375" customWidth="1"/>
    <col min="14" max="14" width="16.7109375" customWidth="1"/>
    <col min="15" max="16" width="30.7109375" customWidth="1"/>
    <col min="17" max="17" width="44.7109375" customWidth="1"/>
  </cols>
  <sheetData>
    <row r="1" spans="1:17" ht="30" customHeight="1" x14ac:dyDescent="0.3">
      <c r="A1" s="31" t="s">
        <v>75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</row>
    <row r="2" spans="1:17" x14ac:dyDescent="0.25">
      <c r="A2" s="11" t="s">
        <v>58</v>
      </c>
    </row>
    <row r="3" spans="1:17" x14ac:dyDescent="0.25">
      <c r="A3" s="10" t="s">
        <v>59</v>
      </c>
    </row>
    <row r="4" spans="1:17" x14ac:dyDescent="0.25">
      <c r="A4" s="12" t="s">
        <v>60</v>
      </c>
      <c r="B4" s="12" t="s">
        <v>48</v>
      </c>
      <c r="C4" s="12" t="s">
        <v>42</v>
      </c>
      <c r="D4" s="12" t="s">
        <v>43</v>
      </c>
      <c r="E4" s="12" t="s">
        <v>49</v>
      </c>
      <c r="F4" s="12" t="s">
        <v>61</v>
      </c>
      <c r="G4" s="12" t="s">
        <v>62</v>
      </c>
      <c r="H4" s="12" t="s">
        <v>63</v>
      </c>
      <c r="I4" s="12" t="s">
        <v>64</v>
      </c>
      <c r="J4" s="12" t="s">
        <v>52</v>
      </c>
      <c r="K4" s="12" t="s">
        <v>65</v>
      </c>
      <c r="M4" s="16" t="s">
        <v>66</v>
      </c>
      <c r="N4" s="16" t="s">
        <v>43</v>
      </c>
      <c r="O4" s="16" t="s">
        <v>67</v>
      </c>
      <c r="P4" s="16" t="s">
        <v>68</v>
      </c>
      <c r="Q4" s="16" t="s">
        <v>69</v>
      </c>
    </row>
    <row r="5" spans="1:17" x14ac:dyDescent="0.25">
      <c r="A5" s="15"/>
      <c r="B5" s="15"/>
      <c r="C5" s="15"/>
      <c r="E5" s="13"/>
      <c r="F5" s="14"/>
      <c r="G5" s="15"/>
    </row>
    <row r="6" spans="1:17" x14ac:dyDescent="0.25">
      <c r="A6" s="15"/>
      <c r="B6" s="15"/>
      <c r="C6" s="15"/>
      <c r="E6" s="13"/>
      <c r="F6" s="14"/>
      <c r="G6" s="15"/>
    </row>
    <row r="7" spans="1:17" x14ac:dyDescent="0.25">
      <c r="A7" s="15"/>
      <c r="B7" s="15"/>
      <c r="C7" s="15"/>
      <c r="E7" s="13"/>
      <c r="F7" s="14"/>
      <c r="G7" s="15"/>
    </row>
    <row r="8" spans="1:17" x14ac:dyDescent="0.25">
      <c r="A8" s="15"/>
      <c r="B8" s="15"/>
      <c r="C8" s="15"/>
      <c r="E8" s="13"/>
      <c r="F8" s="14"/>
      <c r="G8" s="15"/>
    </row>
    <row r="9" spans="1:17" x14ac:dyDescent="0.25">
      <c r="A9" s="15"/>
      <c r="B9" s="15"/>
      <c r="C9" s="15"/>
      <c r="E9" s="13"/>
      <c r="F9" s="14"/>
      <c r="G9" s="15"/>
    </row>
    <row r="10" spans="1:17" x14ac:dyDescent="0.25">
      <c r="A10" s="15"/>
      <c r="B10" s="15"/>
      <c r="C10" s="15"/>
      <c r="E10" s="13"/>
      <c r="F10" s="14"/>
      <c r="G10" s="15"/>
    </row>
    <row r="11" spans="1:17" x14ac:dyDescent="0.25">
      <c r="A11" s="15"/>
      <c r="B11" s="15"/>
      <c r="C11" s="15"/>
      <c r="E11" s="13"/>
      <c r="F11" s="14"/>
      <c r="G11" s="15"/>
    </row>
    <row r="12" spans="1:17" x14ac:dyDescent="0.25">
      <c r="A12" s="15"/>
      <c r="B12" s="15"/>
      <c r="C12" s="15"/>
      <c r="E12" s="13"/>
      <c r="F12" s="14"/>
      <c r="G12" s="15"/>
    </row>
    <row r="13" spans="1:17" x14ac:dyDescent="0.25">
      <c r="A13" s="15"/>
      <c r="B13" s="15"/>
      <c r="C13" s="15"/>
      <c r="E13" s="13"/>
      <c r="F13" s="14"/>
      <c r="G13" s="15"/>
    </row>
    <row r="14" spans="1:17" x14ac:dyDescent="0.25">
      <c r="A14" s="15"/>
      <c r="B14" s="15"/>
      <c r="C14" s="15"/>
      <c r="E14" s="13"/>
      <c r="F14" s="14"/>
      <c r="G14" s="15"/>
    </row>
    <row r="15" spans="1:17" x14ac:dyDescent="0.25">
      <c r="A15" s="15"/>
      <c r="B15" s="15"/>
      <c r="C15" s="15"/>
      <c r="E15" s="13"/>
      <c r="F15" s="14"/>
      <c r="G15" s="15"/>
    </row>
    <row r="16" spans="1:17" x14ac:dyDescent="0.25">
      <c r="A16" s="15"/>
      <c r="B16" s="15"/>
      <c r="C16" s="15"/>
      <c r="E16" s="13"/>
      <c r="F16" s="14"/>
      <c r="G16" s="15"/>
    </row>
    <row r="17" spans="1:7" x14ac:dyDescent="0.25">
      <c r="A17" s="15"/>
      <c r="B17" s="15"/>
      <c r="C17" s="15"/>
      <c r="E17" s="13"/>
      <c r="F17" s="14"/>
      <c r="G17" s="15"/>
    </row>
    <row r="18" spans="1:7" x14ac:dyDescent="0.25">
      <c r="A18" s="15"/>
      <c r="B18" s="15"/>
      <c r="C18" s="15"/>
      <c r="E18" s="13"/>
      <c r="F18" s="14"/>
      <c r="G18" s="15"/>
    </row>
    <row r="19" spans="1:7" x14ac:dyDescent="0.25">
      <c r="A19" s="15"/>
      <c r="B19" s="15"/>
      <c r="C19" s="15"/>
      <c r="E19" s="13"/>
      <c r="F19" s="14"/>
      <c r="G19" s="15"/>
    </row>
    <row r="20" spans="1:7" x14ac:dyDescent="0.25">
      <c r="A20" s="15"/>
      <c r="B20" s="15"/>
      <c r="C20" s="15"/>
      <c r="E20" s="13"/>
      <c r="F20" s="14"/>
      <c r="G20" s="15"/>
    </row>
    <row r="21" spans="1:7" x14ac:dyDescent="0.25">
      <c r="A21" s="15"/>
      <c r="B21" s="15"/>
      <c r="C21" s="15"/>
      <c r="E21" s="13"/>
      <c r="F21" s="14"/>
      <c r="G21" s="15"/>
    </row>
    <row r="22" spans="1:7" x14ac:dyDescent="0.25">
      <c r="A22" s="15"/>
      <c r="B22" s="15"/>
      <c r="C22" s="15"/>
      <c r="E22" s="13"/>
      <c r="F22" s="14"/>
      <c r="G22" s="15"/>
    </row>
    <row r="23" spans="1:7" x14ac:dyDescent="0.25">
      <c r="A23" s="15"/>
      <c r="B23" s="15"/>
      <c r="C23" s="15"/>
      <c r="E23" s="13"/>
      <c r="F23" s="14"/>
      <c r="G23" s="15"/>
    </row>
    <row r="24" spans="1:7" x14ac:dyDescent="0.25">
      <c r="A24" s="15"/>
      <c r="B24" s="15"/>
      <c r="C24" s="15"/>
      <c r="E24" s="13"/>
      <c r="F24" s="14"/>
      <c r="G24" s="15"/>
    </row>
    <row r="25" spans="1:7" x14ac:dyDescent="0.25">
      <c r="A25" s="15"/>
      <c r="B25" s="15"/>
      <c r="C25" s="15"/>
      <c r="E25" s="13"/>
      <c r="F25" s="14"/>
      <c r="G25" s="15"/>
    </row>
    <row r="26" spans="1:7" x14ac:dyDescent="0.25">
      <c r="A26" s="15"/>
      <c r="B26" s="15"/>
      <c r="C26" s="15"/>
      <c r="E26" s="13"/>
      <c r="F26" s="14"/>
      <c r="G26" s="15"/>
    </row>
    <row r="27" spans="1:7" x14ac:dyDescent="0.25">
      <c r="A27" s="15"/>
      <c r="B27" s="15"/>
      <c r="C27" s="15"/>
      <c r="E27" s="13"/>
      <c r="F27" s="14"/>
      <c r="G27" s="15"/>
    </row>
    <row r="28" spans="1:7" x14ac:dyDescent="0.25">
      <c r="A28" s="15"/>
      <c r="B28" s="15"/>
      <c r="C28" s="15"/>
      <c r="E28" s="13"/>
      <c r="F28" s="14"/>
      <c r="G28" s="15"/>
    </row>
    <row r="29" spans="1:7" x14ac:dyDescent="0.25">
      <c r="A29" s="15"/>
      <c r="B29" s="15"/>
      <c r="C29" s="15"/>
      <c r="E29" s="13"/>
      <c r="F29" s="14"/>
      <c r="G29" s="15"/>
    </row>
    <row r="30" spans="1:7" x14ac:dyDescent="0.25">
      <c r="A30" s="15"/>
      <c r="B30" s="15"/>
      <c r="C30" s="15"/>
      <c r="E30" s="13"/>
      <c r="F30" s="14"/>
      <c r="G30" s="15"/>
    </row>
    <row r="31" spans="1:7" x14ac:dyDescent="0.25">
      <c r="A31" s="15"/>
      <c r="B31" s="15"/>
      <c r="C31" s="15"/>
      <c r="E31" s="13"/>
      <c r="F31" s="14"/>
      <c r="G31" s="15"/>
    </row>
    <row r="32" spans="1:7" x14ac:dyDescent="0.25">
      <c r="A32" s="15"/>
      <c r="B32" s="15"/>
      <c r="C32" s="15"/>
      <c r="E32" s="13"/>
      <c r="F32" s="14"/>
      <c r="G32" s="15"/>
    </row>
    <row r="33" spans="1:7" x14ac:dyDescent="0.25">
      <c r="A33" s="15"/>
      <c r="B33" s="15"/>
      <c r="C33" s="15"/>
      <c r="E33" s="13"/>
      <c r="F33" s="14"/>
      <c r="G33" s="15"/>
    </row>
    <row r="34" spans="1:7" x14ac:dyDescent="0.25">
      <c r="A34" s="15"/>
      <c r="B34" s="15"/>
      <c r="C34" s="15"/>
      <c r="E34" s="13"/>
      <c r="F34" s="14"/>
      <c r="G34" s="15"/>
    </row>
    <row r="35" spans="1:7" x14ac:dyDescent="0.25">
      <c r="A35" s="15"/>
      <c r="B35" s="15"/>
      <c r="C35" s="15"/>
      <c r="E35" s="13"/>
      <c r="F35" s="14"/>
      <c r="G35" s="15"/>
    </row>
    <row r="36" spans="1:7" x14ac:dyDescent="0.25">
      <c r="A36" s="15"/>
      <c r="B36" s="15"/>
      <c r="C36" s="15"/>
      <c r="E36" s="13"/>
      <c r="F36" s="14"/>
      <c r="G36" s="15"/>
    </row>
    <row r="37" spans="1:7" x14ac:dyDescent="0.25">
      <c r="A37" s="15"/>
      <c r="B37" s="15"/>
      <c r="C37" s="15"/>
      <c r="E37" s="13"/>
      <c r="F37" s="14"/>
      <c r="G37" s="15"/>
    </row>
    <row r="38" spans="1:7" x14ac:dyDescent="0.25">
      <c r="A38" s="15"/>
      <c r="B38" s="15"/>
      <c r="C38" s="15"/>
      <c r="E38" s="13"/>
      <c r="F38" s="14"/>
      <c r="G38" s="15"/>
    </row>
    <row r="39" spans="1:7" x14ac:dyDescent="0.25">
      <c r="A39" s="15"/>
      <c r="B39" s="15"/>
      <c r="C39" s="15"/>
      <c r="E39" s="13"/>
      <c r="F39" s="14"/>
      <c r="G39" s="15"/>
    </row>
    <row r="40" spans="1:7" x14ac:dyDescent="0.25">
      <c r="A40" s="15"/>
      <c r="B40" s="15"/>
      <c r="C40" s="15"/>
      <c r="E40" s="13"/>
      <c r="F40" s="14"/>
      <c r="G40" s="15"/>
    </row>
    <row r="41" spans="1:7" x14ac:dyDescent="0.25">
      <c r="A41" s="15"/>
      <c r="B41" s="15"/>
      <c r="C41" s="15"/>
      <c r="E41" s="13"/>
      <c r="F41" s="14"/>
      <c r="G41" s="15"/>
    </row>
    <row r="42" spans="1:7" x14ac:dyDescent="0.25">
      <c r="A42" s="15"/>
      <c r="B42" s="15"/>
      <c r="C42" s="15"/>
      <c r="E42" s="13"/>
      <c r="F42" s="14"/>
      <c r="G42" s="15"/>
    </row>
    <row r="43" spans="1:7" x14ac:dyDescent="0.25">
      <c r="A43" s="15"/>
      <c r="B43" s="15"/>
      <c r="C43" s="15"/>
      <c r="E43" s="13"/>
      <c r="F43" s="14"/>
      <c r="G43" s="15"/>
    </row>
    <row r="44" spans="1:7" x14ac:dyDescent="0.25">
      <c r="A44" s="15"/>
      <c r="B44" s="15"/>
      <c r="C44" s="15"/>
      <c r="E44" s="13"/>
      <c r="F44" s="14"/>
      <c r="G44" s="15"/>
    </row>
    <row r="45" spans="1:7" x14ac:dyDescent="0.25">
      <c r="A45" s="15"/>
      <c r="B45" s="15"/>
      <c r="C45" s="15"/>
      <c r="E45" s="13"/>
      <c r="F45" s="14"/>
      <c r="G45" s="15"/>
    </row>
    <row r="46" spans="1:7" x14ac:dyDescent="0.25">
      <c r="A46" s="15"/>
      <c r="B46" s="15"/>
      <c r="C46" s="15"/>
      <c r="E46" s="13"/>
      <c r="F46" s="14"/>
      <c r="G46" s="15"/>
    </row>
    <row r="47" spans="1:7" x14ac:dyDescent="0.25">
      <c r="A47" s="15"/>
      <c r="B47" s="15"/>
      <c r="C47" s="15"/>
      <c r="E47" s="13"/>
      <c r="F47" s="14"/>
      <c r="G47" s="15"/>
    </row>
    <row r="48" spans="1:7" x14ac:dyDescent="0.25">
      <c r="A48" s="15"/>
      <c r="B48" s="15"/>
      <c r="C48" s="15"/>
      <c r="E48" s="13"/>
      <c r="F48" s="14"/>
      <c r="G48" s="15"/>
    </row>
    <row r="49" spans="1:7" x14ac:dyDescent="0.25">
      <c r="A49" s="15"/>
      <c r="B49" s="15"/>
      <c r="C49" s="15"/>
      <c r="E49" s="13"/>
      <c r="F49" s="14"/>
      <c r="G49" s="15"/>
    </row>
    <row r="50" spans="1:7" x14ac:dyDescent="0.25">
      <c r="A50" s="15"/>
      <c r="B50" s="15"/>
      <c r="C50" s="15"/>
      <c r="E50" s="13"/>
      <c r="F50" s="14"/>
      <c r="G50" s="15"/>
    </row>
    <row r="51" spans="1:7" x14ac:dyDescent="0.25">
      <c r="A51" s="15"/>
      <c r="B51" s="15"/>
      <c r="C51" s="15"/>
      <c r="E51" s="13"/>
      <c r="F51" s="14"/>
      <c r="G51" s="15"/>
    </row>
    <row r="52" spans="1:7" x14ac:dyDescent="0.25">
      <c r="A52" s="15"/>
      <c r="B52" s="15"/>
      <c r="C52" s="15"/>
      <c r="E52" s="13"/>
      <c r="F52" s="14"/>
      <c r="G52" s="15"/>
    </row>
    <row r="53" spans="1:7" x14ac:dyDescent="0.25">
      <c r="A53" s="15"/>
      <c r="B53" s="15"/>
      <c r="C53" s="15"/>
      <c r="E53" s="13"/>
      <c r="F53" s="14"/>
      <c r="G53" s="15"/>
    </row>
    <row r="54" spans="1:7" x14ac:dyDescent="0.25">
      <c r="A54" s="15"/>
      <c r="B54" s="15"/>
      <c r="C54" s="15"/>
      <c r="E54" s="13"/>
      <c r="F54" s="14"/>
      <c r="G54" s="15"/>
    </row>
    <row r="55" spans="1:7" x14ac:dyDescent="0.25">
      <c r="A55" s="15"/>
      <c r="B55" s="15"/>
      <c r="C55" s="15"/>
      <c r="E55" s="13"/>
      <c r="F55" s="14"/>
      <c r="G55" s="15"/>
    </row>
    <row r="56" spans="1:7" x14ac:dyDescent="0.25">
      <c r="A56" s="15"/>
      <c r="B56" s="15"/>
      <c r="C56" s="15"/>
      <c r="E56" s="13"/>
      <c r="F56" s="14"/>
      <c r="G56" s="15"/>
    </row>
    <row r="57" spans="1:7" x14ac:dyDescent="0.25">
      <c r="A57" s="15"/>
      <c r="B57" s="15"/>
      <c r="C57" s="15"/>
      <c r="E57" s="13"/>
      <c r="F57" s="14"/>
      <c r="G57" s="15"/>
    </row>
    <row r="58" spans="1:7" x14ac:dyDescent="0.25">
      <c r="A58" s="15"/>
      <c r="B58" s="15"/>
      <c r="C58" s="15"/>
      <c r="E58" s="13"/>
      <c r="F58" s="14"/>
      <c r="G58" s="15"/>
    </row>
    <row r="59" spans="1:7" x14ac:dyDescent="0.25">
      <c r="A59" s="15"/>
      <c r="B59" s="15"/>
      <c r="C59" s="15"/>
      <c r="E59" s="13"/>
      <c r="F59" s="14"/>
      <c r="G59" s="15"/>
    </row>
    <row r="60" spans="1:7" x14ac:dyDescent="0.25">
      <c r="A60" s="15"/>
      <c r="B60" s="15"/>
      <c r="C60" s="15"/>
      <c r="E60" s="13"/>
      <c r="F60" s="14"/>
      <c r="G60" s="15"/>
    </row>
    <row r="61" spans="1:7" x14ac:dyDescent="0.25">
      <c r="A61" s="15"/>
      <c r="B61" s="15"/>
      <c r="C61" s="15"/>
      <c r="E61" s="13"/>
      <c r="F61" s="14"/>
      <c r="G61" s="15"/>
    </row>
    <row r="62" spans="1:7" x14ac:dyDescent="0.25">
      <c r="A62" s="15"/>
      <c r="B62" s="15"/>
      <c r="C62" s="15"/>
      <c r="E62" s="13"/>
      <c r="F62" s="14"/>
      <c r="G62" s="15"/>
    </row>
    <row r="63" spans="1:7" x14ac:dyDescent="0.25">
      <c r="A63" s="15"/>
      <c r="B63" s="15"/>
      <c r="C63" s="15"/>
      <c r="E63" s="13"/>
      <c r="F63" s="14"/>
      <c r="G63" s="15"/>
    </row>
    <row r="64" spans="1:7" x14ac:dyDescent="0.25">
      <c r="A64" s="15"/>
      <c r="B64" s="15"/>
      <c r="C64" s="15"/>
      <c r="E64" s="13"/>
      <c r="F64" s="14"/>
      <c r="G64" s="15"/>
    </row>
    <row r="65" spans="1:7" x14ac:dyDescent="0.25">
      <c r="A65" s="15"/>
      <c r="B65" s="15"/>
      <c r="C65" s="15"/>
      <c r="E65" s="13"/>
      <c r="F65" s="14"/>
      <c r="G65" s="15"/>
    </row>
    <row r="66" spans="1:7" x14ac:dyDescent="0.25">
      <c r="A66" s="15"/>
      <c r="B66" s="15"/>
      <c r="C66" s="15"/>
      <c r="E66" s="13"/>
      <c r="F66" s="14"/>
      <c r="G66" s="15"/>
    </row>
    <row r="67" spans="1:7" x14ac:dyDescent="0.25">
      <c r="A67" s="15"/>
      <c r="B67" s="15"/>
      <c r="C67" s="15"/>
      <c r="E67" s="13"/>
      <c r="F67" s="14"/>
      <c r="G67" s="15"/>
    </row>
    <row r="68" spans="1:7" x14ac:dyDescent="0.25">
      <c r="A68" s="15"/>
      <c r="B68" s="15"/>
      <c r="C68" s="15"/>
      <c r="E68" s="13"/>
      <c r="F68" s="14"/>
      <c r="G68" s="15"/>
    </row>
    <row r="69" spans="1:7" x14ac:dyDescent="0.25">
      <c r="A69" s="15"/>
      <c r="B69" s="15"/>
      <c r="C69" s="15"/>
      <c r="E69" s="13"/>
      <c r="F69" s="14"/>
      <c r="G69" s="15"/>
    </row>
    <row r="70" spans="1:7" x14ac:dyDescent="0.25">
      <c r="A70" s="15"/>
      <c r="B70" s="15"/>
      <c r="C70" s="15"/>
      <c r="E70" s="13"/>
      <c r="F70" s="14"/>
      <c r="G70" s="15"/>
    </row>
    <row r="71" spans="1:7" x14ac:dyDescent="0.25">
      <c r="A71" s="15"/>
      <c r="B71" s="15"/>
      <c r="C71" s="15"/>
      <c r="E71" s="13"/>
      <c r="F71" s="14"/>
      <c r="G71" s="15"/>
    </row>
    <row r="72" spans="1:7" x14ac:dyDescent="0.25">
      <c r="A72" s="15"/>
      <c r="B72" s="15"/>
      <c r="C72" s="15"/>
      <c r="E72" s="13"/>
      <c r="F72" s="14"/>
      <c r="G72" s="15"/>
    </row>
    <row r="73" spans="1:7" x14ac:dyDescent="0.25">
      <c r="A73" s="15"/>
      <c r="B73" s="15"/>
      <c r="C73" s="15"/>
      <c r="E73" s="13"/>
      <c r="F73" s="14"/>
      <c r="G73" s="15"/>
    </row>
    <row r="74" spans="1:7" x14ac:dyDescent="0.25">
      <c r="A74" s="15"/>
      <c r="B74" s="15"/>
      <c r="C74" s="15"/>
      <c r="E74" s="13"/>
      <c r="F74" s="14"/>
      <c r="G74" s="15"/>
    </row>
    <row r="75" spans="1:7" x14ac:dyDescent="0.25">
      <c r="A75" s="15"/>
      <c r="B75" s="15"/>
      <c r="C75" s="15"/>
      <c r="E75" s="13"/>
      <c r="F75" s="14"/>
      <c r="G75" s="15"/>
    </row>
    <row r="76" spans="1:7" x14ac:dyDescent="0.25">
      <c r="A76" s="15"/>
      <c r="B76" s="15"/>
      <c r="C76" s="15"/>
      <c r="E76" s="13"/>
      <c r="F76" s="14"/>
      <c r="G76" s="15"/>
    </row>
    <row r="77" spans="1:7" x14ac:dyDescent="0.25">
      <c r="A77" s="15"/>
      <c r="B77" s="15"/>
      <c r="C77" s="15"/>
      <c r="E77" s="13"/>
      <c r="F77" s="14"/>
      <c r="G77" s="15"/>
    </row>
    <row r="78" spans="1:7" x14ac:dyDescent="0.25">
      <c r="A78" s="15"/>
      <c r="B78" s="15"/>
      <c r="C78" s="15"/>
      <c r="E78" s="13"/>
      <c r="F78" s="14"/>
      <c r="G78" s="15"/>
    </row>
    <row r="79" spans="1:7" x14ac:dyDescent="0.25">
      <c r="A79" s="15"/>
      <c r="B79" s="15"/>
      <c r="C79" s="15"/>
      <c r="E79" s="13"/>
      <c r="F79" s="14"/>
      <c r="G79" s="15"/>
    </row>
    <row r="80" spans="1:7" x14ac:dyDescent="0.25">
      <c r="A80" s="15"/>
      <c r="B80" s="15"/>
      <c r="C80" s="15"/>
      <c r="E80" s="13"/>
      <c r="F80" s="14"/>
      <c r="G80" s="15"/>
    </row>
    <row r="81" spans="1:7" x14ac:dyDescent="0.25">
      <c r="A81" s="15"/>
      <c r="B81" s="15"/>
      <c r="C81" s="15"/>
      <c r="E81" s="13"/>
      <c r="F81" s="14"/>
      <c r="G81" s="15"/>
    </row>
    <row r="82" spans="1:7" x14ac:dyDescent="0.25">
      <c r="A82" s="15"/>
      <c r="B82" s="15"/>
      <c r="C82" s="15"/>
      <c r="E82" s="13"/>
      <c r="F82" s="14"/>
      <c r="G82" s="15"/>
    </row>
    <row r="83" spans="1:7" x14ac:dyDescent="0.25">
      <c r="A83" s="15"/>
      <c r="B83" s="15"/>
      <c r="C83" s="15"/>
      <c r="E83" s="13"/>
      <c r="F83" s="14"/>
      <c r="G83" s="15"/>
    </row>
    <row r="84" spans="1:7" x14ac:dyDescent="0.25">
      <c r="A84" s="15"/>
      <c r="B84" s="15"/>
      <c r="C84" s="15"/>
      <c r="E84" s="13"/>
      <c r="F84" s="14"/>
      <c r="G84" s="15"/>
    </row>
    <row r="85" spans="1:7" x14ac:dyDescent="0.25">
      <c r="A85" s="15"/>
      <c r="B85" s="15"/>
      <c r="C85" s="15"/>
      <c r="E85" s="13"/>
      <c r="F85" s="14"/>
      <c r="G85" s="15"/>
    </row>
    <row r="86" spans="1:7" x14ac:dyDescent="0.25">
      <c r="A86" s="15"/>
      <c r="B86" s="15"/>
      <c r="C86" s="15"/>
      <c r="E86" s="13"/>
      <c r="F86" s="14"/>
      <c r="G86" s="15"/>
    </row>
    <row r="87" spans="1:7" x14ac:dyDescent="0.25">
      <c r="A87" s="15"/>
      <c r="B87" s="15"/>
      <c r="C87" s="15"/>
      <c r="E87" s="13"/>
      <c r="F87" s="14"/>
      <c r="G87" s="15"/>
    </row>
    <row r="88" spans="1:7" x14ac:dyDescent="0.25">
      <c r="A88" s="15"/>
      <c r="B88" s="15"/>
      <c r="C88" s="15"/>
      <c r="E88" s="13"/>
      <c r="F88" s="14"/>
      <c r="G88" s="15"/>
    </row>
    <row r="89" spans="1:7" x14ac:dyDescent="0.25">
      <c r="A89" s="15"/>
      <c r="B89" s="15"/>
      <c r="C89" s="15"/>
      <c r="E89" s="13"/>
      <c r="F89" s="14"/>
      <c r="G89" s="15"/>
    </row>
    <row r="90" spans="1:7" x14ac:dyDescent="0.25">
      <c r="A90" s="15"/>
      <c r="B90" s="15"/>
      <c r="C90" s="15"/>
      <c r="E90" s="13"/>
      <c r="F90" s="14"/>
      <c r="G90" s="15"/>
    </row>
    <row r="91" spans="1:7" x14ac:dyDescent="0.25">
      <c r="A91" s="15"/>
      <c r="B91" s="15"/>
      <c r="C91" s="15"/>
      <c r="E91" s="13"/>
      <c r="F91" s="14"/>
      <c r="G91" s="15"/>
    </row>
    <row r="92" spans="1:7" x14ac:dyDescent="0.25">
      <c r="A92" s="15"/>
      <c r="B92" s="15"/>
      <c r="C92" s="15"/>
      <c r="E92" s="13"/>
      <c r="F92" s="14"/>
      <c r="G92" s="15"/>
    </row>
    <row r="93" spans="1:7" x14ac:dyDescent="0.25">
      <c r="A93" s="15"/>
      <c r="B93" s="15"/>
      <c r="C93" s="15"/>
      <c r="E93" s="13"/>
      <c r="F93" s="14"/>
      <c r="G93" s="15"/>
    </row>
    <row r="94" spans="1:7" x14ac:dyDescent="0.25">
      <c r="A94" s="15"/>
      <c r="B94" s="15"/>
      <c r="C94" s="15"/>
      <c r="E94" s="13"/>
      <c r="F94" s="14"/>
      <c r="G94" s="15"/>
    </row>
    <row r="95" spans="1:7" x14ac:dyDescent="0.25">
      <c r="A95" s="15"/>
      <c r="B95" s="15"/>
      <c r="C95" s="15"/>
      <c r="E95" s="13"/>
      <c r="F95" s="14"/>
      <c r="G95" s="15"/>
    </row>
    <row r="96" spans="1:7" x14ac:dyDescent="0.25">
      <c r="A96" s="15"/>
      <c r="B96" s="15"/>
      <c r="C96" s="15"/>
      <c r="E96" s="13"/>
      <c r="F96" s="14"/>
      <c r="G96" s="15"/>
    </row>
    <row r="97" spans="1:7" x14ac:dyDescent="0.25">
      <c r="A97" s="15"/>
      <c r="B97" s="15"/>
      <c r="C97" s="15"/>
      <c r="E97" s="13"/>
      <c r="F97" s="14"/>
      <c r="G97" s="15"/>
    </row>
    <row r="98" spans="1:7" x14ac:dyDescent="0.25">
      <c r="A98" s="15"/>
      <c r="B98" s="15"/>
      <c r="C98" s="15"/>
      <c r="E98" s="13"/>
      <c r="F98" s="14"/>
      <c r="G98" s="15"/>
    </row>
    <row r="99" spans="1:7" x14ac:dyDescent="0.25">
      <c r="A99" s="15"/>
      <c r="B99" s="15"/>
      <c r="C99" s="15"/>
      <c r="E99" s="13"/>
      <c r="F99" s="14"/>
      <c r="G99" s="15"/>
    </row>
    <row r="100" spans="1:7" x14ac:dyDescent="0.25">
      <c r="A100" s="15"/>
      <c r="B100" s="15"/>
      <c r="C100" s="15"/>
      <c r="E100" s="13"/>
      <c r="F100" s="14"/>
      <c r="G100" s="15"/>
    </row>
    <row r="101" spans="1:7" x14ac:dyDescent="0.25">
      <c r="A101" s="15"/>
      <c r="B101" s="15"/>
      <c r="C101" s="15"/>
      <c r="E101" s="13"/>
      <c r="F101" s="14"/>
      <c r="G101" s="15"/>
    </row>
    <row r="102" spans="1:7" x14ac:dyDescent="0.25">
      <c r="A102" s="15"/>
      <c r="B102" s="15"/>
      <c r="C102" s="15"/>
      <c r="E102" s="13"/>
      <c r="F102" s="14"/>
      <c r="G102" s="15"/>
    </row>
    <row r="103" spans="1:7" x14ac:dyDescent="0.25">
      <c r="A103" s="15"/>
      <c r="B103" s="15"/>
      <c r="C103" s="15"/>
      <c r="E103" s="13"/>
      <c r="F103" s="14"/>
      <c r="G103" s="15"/>
    </row>
    <row r="104" spans="1:7" x14ac:dyDescent="0.25">
      <c r="A104" s="15"/>
      <c r="B104" s="15"/>
      <c r="C104" s="15"/>
      <c r="E104" s="13"/>
      <c r="F104" s="14"/>
      <c r="G104" s="15"/>
    </row>
    <row r="105" spans="1:7" x14ac:dyDescent="0.25">
      <c r="A105" s="15"/>
      <c r="B105" s="15"/>
      <c r="C105" s="15"/>
      <c r="E105" s="13"/>
      <c r="F105" s="14"/>
      <c r="G105" s="15"/>
    </row>
    <row r="106" spans="1:7" x14ac:dyDescent="0.25">
      <c r="A106" s="15"/>
      <c r="B106" s="15"/>
      <c r="C106" s="15"/>
      <c r="E106" s="13"/>
      <c r="F106" s="14"/>
      <c r="G106" s="15"/>
    </row>
    <row r="107" spans="1:7" x14ac:dyDescent="0.25">
      <c r="A107" s="15"/>
      <c r="B107" s="15"/>
      <c r="C107" s="15"/>
      <c r="E107" s="13"/>
      <c r="F107" s="14"/>
      <c r="G107" s="15"/>
    </row>
    <row r="108" spans="1:7" x14ac:dyDescent="0.25">
      <c r="A108" s="15"/>
      <c r="B108" s="15"/>
      <c r="C108" s="15"/>
      <c r="E108" s="13"/>
      <c r="F108" s="14"/>
      <c r="G108" s="15"/>
    </row>
    <row r="109" spans="1:7" x14ac:dyDescent="0.25">
      <c r="A109" s="15"/>
      <c r="B109" s="15"/>
      <c r="C109" s="15"/>
      <c r="E109" s="13"/>
      <c r="F109" s="14"/>
      <c r="G109" s="15"/>
    </row>
    <row r="110" spans="1:7" x14ac:dyDescent="0.25">
      <c r="A110" s="15"/>
      <c r="B110" s="15"/>
      <c r="C110" s="15"/>
      <c r="E110" s="13"/>
      <c r="F110" s="14"/>
      <c r="G110" s="15"/>
    </row>
    <row r="111" spans="1:7" x14ac:dyDescent="0.25">
      <c r="A111" s="15"/>
      <c r="B111" s="15"/>
      <c r="C111" s="15"/>
      <c r="E111" s="13"/>
      <c r="F111" s="14"/>
      <c r="G111" s="15"/>
    </row>
    <row r="112" spans="1:7" x14ac:dyDescent="0.25">
      <c r="A112" s="15"/>
      <c r="B112" s="15"/>
      <c r="C112" s="15"/>
      <c r="E112" s="13"/>
      <c r="F112" s="14"/>
      <c r="G112" s="15"/>
    </row>
    <row r="113" spans="1:7" x14ac:dyDescent="0.25">
      <c r="A113" s="15"/>
      <c r="B113" s="15"/>
      <c r="C113" s="15"/>
      <c r="E113" s="13"/>
      <c r="F113" s="14"/>
      <c r="G113" s="15"/>
    </row>
    <row r="114" spans="1:7" x14ac:dyDescent="0.25">
      <c r="A114" s="15"/>
      <c r="B114" s="15"/>
      <c r="C114" s="15"/>
      <c r="E114" s="13"/>
      <c r="F114" s="14"/>
      <c r="G114" s="15"/>
    </row>
    <row r="115" spans="1:7" x14ac:dyDescent="0.25">
      <c r="A115" s="15"/>
      <c r="B115" s="15"/>
      <c r="C115" s="15"/>
      <c r="E115" s="13"/>
      <c r="F115" s="14"/>
      <c r="G115" s="15"/>
    </row>
    <row r="116" spans="1:7" x14ac:dyDescent="0.25">
      <c r="A116" s="15"/>
      <c r="B116" s="15"/>
      <c r="C116" s="15"/>
      <c r="E116" s="13"/>
      <c r="F116" s="14"/>
      <c r="G116" s="15"/>
    </row>
    <row r="117" spans="1:7" x14ac:dyDescent="0.25">
      <c r="A117" s="15"/>
      <c r="B117" s="15"/>
      <c r="C117" s="15"/>
      <c r="E117" s="13"/>
      <c r="F117" s="14"/>
      <c r="G117" s="15"/>
    </row>
    <row r="118" spans="1:7" x14ac:dyDescent="0.25">
      <c r="A118" s="15"/>
      <c r="B118" s="15"/>
      <c r="C118" s="15"/>
      <c r="E118" s="13"/>
      <c r="F118" s="14"/>
      <c r="G118" s="15"/>
    </row>
    <row r="119" spans="1:7" x14ac:dyDescent="0.25">
      <c r="A119" s="15"/>
      <c r="B119" s="15"/>
      <c r="C119" s="15"/>
      <c r="E119" s="13"/>
      <c r="F119" s="14"/>
      <c r="G119" s="15"/>
    </row>
    <row r="120" spans="1:7" x14ac:dyDescent="0.25">
      <c r="A120" s="15"/>
      <c r="B120" s="15"/>
      <c r="C120" s="15"/>
      <c r="E120" s="13"/>
      <c r="F120" s="14"/>
      <c r="G120" s="15"/>
    </row>
    <row r="121" spans="1:7" x14ac:dyDescent="0.25">
      <c r="A121" s="15"/>
      <c r="B121" s="15"/>
      <c r="C121" s="15"/>
      <c r="E121" s="13"/>
      <c r="F121" s="14"/>
      <c r="G121" s="15"/>
    </row>
    <row r="122" spans="1:7" x14ac:dyDescent="0.25">
      <c r="A122" s="15"/>
      <c r="B122" s="15"/>
      <c r="C122" s="15"/>
      <c r="E122" s="13"/>
      <c r="F122" s="14"/>
      <c r="G122" s="15"/>
    </row>
    <row r="123" spans="1:7" x14ac:dyDescent="0.25">
      <c r="A123" s="15"/>
      <c r="B123" s="15"/>
      <c r="C123" s="15"/>
      <c r="E123" s="13"/>
      <c r="F123" s="14"/>
      <c r="G123" s="15"/>
    </row>
    <row r="124" spans="1:7" x14ac:dyDescent="0.25">
      <c r="A124" s="15"/>
      <c r="B124" s="15"/>
      <c r="C124" s="15"/>
      <c r="E124" s="13"/>
      <c r="F124" s="14"/>
      <c r="G124" s="15"/>
    </row>
    <row r="125" spans="1:7" x14ac:dyDescent="0.25">
      <c r="A125" s="15"/>
      <c r="B125" s="15"/>
      <c r="C125" s="15"/>
      <c r="E125" s="13"/>
      <c r="F125" s="14"/>
      <c r="G125" s="15"/>
    </row>
    <row r="126" spans="1:7" x14ac:dyDescent="0.25">
      <c r="A126" s="15"/>
      <c r="B126" s="15"/>
      <c r="C126" s="15"/>
      <c r="E126" s="13"/>
      <c r="F126" s="14"/>
      <c r="G126" s="15"/>
    </row>
    <row r="127" spans="1:7" x14ac:dyDescent="0.25">
      <c r="A127" s="15"/>
      <c r="B127" s="15"/>
      <c r="C127" s="15"/>
      <c r="E127" s="13"/>
      <c r="F127" s="14"/>
      <c r="G127" s="15"/>
    </row>
    <row r="128" spans="1:7" x14ac:dyDescent="0.25">
      <c r="A128" s="15"/>
      <c r="B128" s="15"/>
      <c r="C128" s="15"/>
      <c r="E128" s="13"/>
      <c r="F128" s="14"/>
      <c r="G128" s="15"/>
    </row>
    <row r="129" spans="1:7" x14ac:dyDescent="0.25">
      <c r="A129" s="15"/>
      <c r="B129" s="15"/>
      <c r="C129" s="15"/>
      <c r="E129" s="13"/>
      <c r="F129" s="14"/>
      <c r="G129" s="15"/>
    </row>
    <row r="130" spans="1:7" x14ac:dyDescent="0.25">
      <c r="A130" s="15"/>
      <c r="B130" s="15"/>
      <c r="C130" s="15"/>
      <c r="E130" s="13"/>
      <c r="F130" s="14"/>
      <c r="G130" s="15"/>
    </row>
    <row r="131" spans="1:7" x14ac:dyDescent="0.25">
      <c r="A131" s="15"/>
      <c r="B131" s="15"/>
      <c r="C131" s="15"/>
      <c r="E131" s="13"/>
      <c r="F131" s="14"/>
      <c r="G131" s="15"/>
    </row>
    <row r="132" spans="1:7" x14ac:dyDescent="0.25">
      <c r="A132" s="15"/>
      <c r="B132" s="15"/>
      <c r="C132" s="15"/>
      <c r="E132" s="13"/>
      <c r="F132" s="14"/>
      <c r="G132" s="15"/>
    </row>
    <row r="133" spans="1:7" x14ac:dyDescent="0.25">
      <c r="A133" s="15"/>
      <c r="B133" s="15"/>
      <c r="C133" s="15"/>
      <c r="E133" s="13"/>
      <c r="F133" s="14"/>
      <c r="G133" s="15"/>
    </row>
    <row r="134" spans="1:7" x14ac:dyDescent="0.25">
      <c r="A134" s="15"/>
      <c r="B134" s="15"/>
      <c r="C134" s="15"/>
      <c r="E134" s="13"/>
      <c r="F134" s="14"/>
      <c r="G134" s="15"/>
    </row>
    <row r="135" spans="1:7" x14ac:dyDescent="0.25">
      <c r="A135" s="15"/>
      <c r="B135" s="15"/>
      <c r="C135" s="15"/>
      <c r="E135" s="13"/>
      <c r="F135" s="14"/>
      <c r="G135" s="15"/>
    </row>
    <row r="136" spans="1:7" x14ac:dyDescent="0.25">
      <c r="A136" s="15"/>
      <c r="B136" s="15"/>
      <c r="C136" s="15"/>
      <c r="E136" s="13"/>
      <c r="F136" s="14"/>
      <c r="G136" s="15"/>
    </row>
    <row r="137" spans="1:7" x14ac:dyDescent="0.25">
      <c r="A137" s="15"/>
      <c r="B137" s="15"/>
      <c r="C137" s="15"/>
      <c r="E137" s="13"/>
      <c r="F137" s="14"/>
      <c r="G137" s="15"/>
    </row>
    <row r="138" spans="1:7" x14ac:dyDescent="0.25">
      <c r="A138" s="15"/>
      <c r="B138" s="15"/>
      <c r="C138" s="15"/>
      <c r="E138" s="13"/>
      <c r="F138" s="14"/>
      <c r="G138" s="15"/>
    </row>
    <row r="139" spans="1:7" x14ac:dyDescent="0.25">
      <c r="A139" s="15"/>
      <c r="B139" s="15"/>
      <c r="C139" s="15"/>
      <c r="E139" s="13"/>
      <c r="F139" s="14"/>
      <c r="G139" s="15"/>
    </row>
    <row r="140" spans="1:7" x14ac:dyDescent="0.25">
      <c r="A140" s="15"/>
      <c r="B140" s="15"/>
      <c r="C140" s="15"/>
      <c r="E140" s="13"/>
      <c r="F140" s="14"/>
      <c r="G140" s="15"/>
    </row>
    <row r="141" spans="1:7" x14ac:dyDescent="0.25">
      <c r="A141" s="15"/>
      <c r="B141" s="15"/>
      <c r="C141" s="15"/>
      <c r="E141" s="13"/>
      <c r="F141" s="14"/>
      <c r="G141" s="15"/>
    </row>
    <row r="142" spans="1:7" x14ac:dyDescent="0.25">
      <c r="A142" s="15"/>
      <c r="B142" s="15"/>
      <c r="C142" s="15"/>
      <c r="E142" s="13"/>
      <c r="F142" s="14"/>
      <c r="G142" s="15"/>
    </row>
    <row r="143" spans="1:7" x14ac:dyDescent="0.25">
      <c r="A143" s="15"/>
      <c r="B143" s="15"/>
      <c r="C143" s="15"/>
      <c r="E143" s="13"/>
      <c r="F143" s="14"/>
      <c r="G143" s="15"/>
    </row>
    <row r="144" spans="1:7" x14ac:dyDescent="0.25">
      <c r="A144" s="15"/>
      <c r="B144" s="15"/>
      <c r="C144" s="15"/>
      <c r="E144" s="13"/>
      <c r="F144" s="14"/>
      <c r="G144" s="15"/>
    </row>
    <row r="145" spans="1:7" x14ac:dyDescent="0.25">
      <c r="A145" s="15"/>
      <c r="B145" s="15"/>
      <c r="C145" s="15"/>
      <c r="E145" s="13"/>
      <c r="F145" s="14"/>
      <c r="G145" s="15"/>
    </row>
    <row r="146" spans="1:7" x14ac:dyDescent="0.25">
      <c r="A146" s="15"/>
      <c r="B146" s="15"/>
      <c r="C146" s="15"/>
      <c r="E146" s="13"/>
      <c r="F146" s="14"/>
      <c r="G146" s="15"/>
    </row>
    <row r="147" spans="1:7" x14ac:dyDescent="0.25">
      <c r="A147" s="15"/>
      <c r="B147" s="15"/>
      <c r="C147" s="15"/>
      <c r="E147" s="13"/>
      <c r="F147" s="14"/>
      <c r="G147" s="15"/>
    </row>
    <row r="148" spans="1:7" x14ac:dyDescent="0.25">
      <c r="A148" s="15"/>
      <c r="B148" s="15"/>
      <c r="C148" s="15"/>
      <c r="E148" s="13"/>
      <c r="F148" s="14"/>
      <c r="G148" s="15"/>
    </row>
    <row r="149" spans="1:7" x14ac:dyDescent="0.25">
      <c r="A149" s="15"/>
      <c r="B149" s="15"/>
      <c r="C149" s="15"/>
      <c r="E149" s="13"/>
      <c r="F149" s="14"/>
      <c r="G149" s="15"/>
    </row>
    <row r="150" spans="1:7" x14ac:dyDescent="0.25">
      <c r="A150" s="15"/>
      <c r="B150" s="15"/>
      <c r="C150" s="15"/>
      <c r="E150" s="13"/>
      <c r="F150" s="14"/>
      <c r="G150" s="15"/>
    </row>
    <row r="151" spans="1:7" x14ac:dyDescent="0.25">
      <c r="A151" s="15"/>
      <c r="B151" s="15"/>
      <c r="C151" s="15"/>
      <c r="E151" s="13"/>
      <c r="F151" s="14"/>
      <c r="G151" s="15"/>
    </row>
    <row r="152" spans="1:7" x14ac:dyDescent="0.25">
      <c r="A152" s="15"/>
      <c r="B152" s="15"/>
      <c r="C152" s="15"/>
      <c r="E152" s="13"/>
      <c r="F152" s="14"/>
      <c r="G152" s="15"/>
    </row>
    <row r="153" spans="1:7" x14ac:dyDescent="0.25">
      <c r="A153" s="15"/>
      <c r="B153" s="15"/>
      <c r="C153" s="15"/>
      <c r="E153" s="13"/>
      <c r="F153" s="14"/>
      <c r="G153" s="15"/>
    </row>
    <row r="154" spans="1:7" x14ac:dyDescent="0.25">
      <c r="A154" s="15"/>
      <c r="B154" s="15"/>
      <c r="C154" s="15"/>
      <c r="E154" s="13"/>
      <c r="F154" s="14"/>
      <c r="G154" s="15"/>
    </row>
    <row r="155" spans="1:7" x14ac:dyDescent="0.25">
      <c r="A155" s="15"/>
      <c r="B155" s="15"/>
      <c r="C155" s="15"/>
      <c r="E155" s="13"/>
      <c r="F155" s="14"/>
      <c r="G155" s="15"/>
    </row>
    <row r="156" spans="1:7" x14ac:dyDescent="0.25">
      <c r="A156" s="15"/>
      <c r="B156" s="15"/>
      <c r="C156" s="15"/>
      <c r="E156" s="13"/>
      <c r="F156" s="14"/>
      <c r="G156" s="15"/>
    </row>
    <row r="157" spans="1:7" x14ac:dyDescent="0.25">
      <c r="A157" s="15"/>
      <c r="B157" s="15"/>
      <c r="C157" s="15"/>
      <c r="E157" s="13"/>
      <c r="F157" s="14"/>
      <c r="G157" s="15"/>
    </row>
    <row r="158" spans="1:7" x14ac:dyDescent="0.25">
      <c r="A158" s="15"/>
      <c r="B158" s="15"/>
      <c r="C158" s="15"/>
      <c r="E158" s="13"/>
      <c r="F158" s="14"/>
      <c r="G158" s="15"/>
    </row>
    <row r="159" spans="1:7" x14ac:dyDescent="0.25">
      <c r="A159" s="15"/>
      <c r="B159" s="15"/>
      <c r="C159" s="15"/>
      <c r="E159" s="13"/>
      <c r="F159" s="14"/>
      <c r="G159" s="15"/>
    </row>
    <row r="160" spans="1:7" x14ac:dyDescent="0.25">
      <c r="A160" s="15"/>
      <c r="B160" s="15"/>
      <c r="C160" s="15"/>
      <c r="E160" s="13"/>
      <c r="F160" s="14"/>
      <c r="G160" s="15"/>
    </row>
    <row r="161" spans="1:7" x14ac:dyDescent="0.25">
      <c r="A161" s="15"/>
      <c r="B161" s="15"/>
      <c r="C161" s="15"/>
      <c r="E161" s="13"/>
      <c r="F161" s="14"/>
      <c r="G161" s="15"/>
    </row>
    <row r="162" spans="1:7" x14ac:dyDescent="0.25">
      <c r="A162" s="15"/>
      <c r="B162" s="15"/>
      <c r="C162" s="15"/>
      <c r="E162" s="13"/>
      <c r="F162" s="14"/>
      <c r="G162" s="15"/>
    </row>
    <row r="163" spans="1:7" x14ac:dyDescent="0.25">
      <c r="A163" s="15"/>
      <c r="B163" s="15"/>
      <c r="C163" s="15"/>
      <c r="E163" s="13"/>
      <c r="F163" s="14"/>
      <c r="G163" s="15"/>
    </row>
    <row r="164" spans="1:7" x14ac:dyDescent="0.25">
      <c r="A164" s="15"/>
      <c r="B164" s="15"/>
      <c r="C164" s="15"/>
      <c r="E164" s="13"/>
      <c r="F164" s="14"/>
      <c r="G164" s="15"/>
    </row>
    <row r="165" spans="1:7" x14ac:dyDescent="0.25">
      <c r="A165" s="15"/>
      <c r="B165" s="15"/>
      <c r="C165" s="15"/>
      <c r="E165" s="13"/>
      <c r="F165" s="14"/>
      <c r="G165" s="15"/>
    </row>
    <row r="166" spans="1:7" x14ac:dyDescent="0.25">
      <c r="A166" s="15"/>
      <c r="B166" s="15"/>
      <c r="C166" s="15"/>
      <c r="E166" s="13"/>
      <c r="F166" s="14"/>
      <c r="G166" s="15"/>
    </row>
    <row r="167" spans="1:7" x14ac:dyDescent="0.25">
      <c r="A167" s="15"/>
      <c r="B167" s="15"/>
      <c r="C167" s="15"/>
      <c r="E167" s="13"/>
      <c r="F167" s="14"/>
      <c r="G167" s="15"/>
    </row>
    <row r="168" spans="1:7" x14ac:dyDescent="0.25">
      <c r="A168" s="15"/>
      <c r="B168" s="15"/>
      <c r="C168" s="15"/>
      <c r="E168" s="13"/>
      <c r="F168" s="14"/>
      <c r="G168" s="15"/>
    </row>
    <row r="169" spans="1:7" x14ac:dyDescent="0.25">
      <c r="A169" s="15"/>
      <c r="B169" s="15"/>
      <c r="C169" s="15"/>
      <c r="E169" s="13"/>
      <c r="F169" s="14"/>
      <c r="G169" s="15"/>
    </row>
    <row r="170" spans="1:7" x14ac:dyDescent="0.25">
      <c r="A170" s="15"/>
      <c r="B170" s="15"/>
      <c r="C170" s="15"/>
      <c r="E170" s="13"/>
      <c r="F170" s="14"/>
      <c r="G170" s="15"/>
    </row>
    <row r="171" spans="1:7" x14ac:dyDescent="0.25">
      <c r="A171" s="15"/>
      <c r="B171" s="15"/>
      <c r="C171" s="15"/>
      <c r="E171" s="13"/>
      <c r="F171" s="14"/>
      <c r="G171" s="15"/>
    </row>
    <row r="172" spans="1:7" x14ac:dyDescent="0.25">
      <c r="A172" s="15"/>
      <c r="B172" s="15"/>
      <c r="C172" s="15"/>
      <c r="E172" s="13"/>
      <c r="F172" s="14"/>
      <c r="G172" s="15"/>
    </row>
    <row r="173" spans="1:7" x14ac:dyDescent="0.25">
      <c r="A173" s="15"/>
      <c r="B173" s="15"/>
      <c r="C173" s="15"/>
      <c r="E173" s="13"/>
      <c r="F173" s="14"/>
      <c r="G173" s="15"/>
    </row>
    <row r="174" spans="1:7" x14ac:dyDescent="0.25">
      <c r="A174" s="15"/>
      <c r="B174" s="15"/>
      <c r="C174" s="15"/>
      <c r="E174" s="13"/>
      <c r="F174" s="14"/>
      <c r="G174" s="15"/>
    </row>
    <row r="175" spans="1:7" x14ac:dyDescent="0.25">
      <c r="A175" s="15"/>
      <c r="B175" s="15"/>
      <c r="C175" s="15"/>
      <c r="E175" s="13"/>
      <c r="F175" s="14"/>
      <c r="G175" s="15"/>
    </row>
    <row r="176" spans="1:7" x14ac:dyDescent="0.25">
      <c r="A176" s="15"/>
      <c r="B176" s="15"/>
      <c r="C176" s="15"/>
      <c r="E176" s="13"/>
      <c r="F176" s="14"/>
      <c r="G176" s="15"/>
    </row>
    <row r="177" spans="1:7" x14ac:dyDescent="0.25">
      <c r="A177" s="15"/>
      <c r="B177" s="15"/>
      <c r="C177" s="15"/>
      <c r="E177" s="13"/>
      <c r="F177" s="14"/>
      <c r="G177" s="15"/>
    </row>
    <row r="178" spans="1:7" x14ac:dyDescent="0.25">
      <c r="A178" s="15"/>
      <c r="B178" s="15"/>
      <c r="C178" s="15"/>
      <c r="E178" s="13"/>
      <c r="F178" s="14"/>
      <c r="G178" s="15"/>
    </row>
    <row r="179" spans="1:7" x14ac:dyDescent="0.25">
      <c r="A179" s="15"/>
      <c r="B179" s="15"/>
      <c r="C179" s="15"/>
      <c r="E179" s="13"/>
      <c r="F179" s="14"/>
      <c r="G179" s="15"/>
    </row>
    <row r="180" spans="1:7" x14ac:dyDescent="0.25">
      <c r="A180" s="15"/>
      <c r="B180" s="15"/>
      <c r="C180" s="15"/>
      <c r="E180" s="13"/>
      <c r="F180" s="14"/>
      <c r="G180" s="15"/>
    </row>
    <row r="181" spans="1:7" x14ac:dyDescent="0.25">
      <c r="A181" s="15"/>
      <c r="B181" s="15"/>
      <c r="C181" s="15"/>
      <c r="E181" s="13"/>
      <c r="F181" s="14"/>
      <c r="G181" s="15"/>
    </row>
    <row r="182" spans="1:7" x14ac:dyDescent="0.25">
      <c r="A182" s="15"/>
      <c r="B182" s="15"/>
      <c r="C182" s="15"/>
      <c r="E182" s="13"/>
      <c r="F182" s="14"/>
      <c r="G182" s="15"/>
    </row>
    <row r="183" spans="1:7" x14ac:dyDescent="0.25">
      <c r="A183" s="15"/>
      <c r="B183" s="15"/>
      <c r="C183" s="15"/>
      <c r="E183" s="13"/>
      <c r="F183" s="14"/>
      <c r="G183" s="15"/>
    </row>
    <row r="184" spans="1:7" x14ac:dyDescent="0.25">
      <c r="A184" s="15"/>
      <c r="B184" s="15"/>
      <c r="C184" s="15"/>
      <c r="E184" s="13"/>
      <c r="F184" s="14"/>
      <c r="G184" s="15"/>
    </row>
    <row r="185" spans="1:7" x14ac:dyDescent="0.25">
      <c r="A185" s="15"/>
      <c r="B185" s="15"/>
      <c r="C185" s="15"/>
      <c r="E185" s="13"/>
      <c r="F185" s="14"/>
      <c r="G185" s="15"/>
    </row>
    <row r="186" spans="1:7" x14ac:dyDescent="0.25">
      <c r="A186" s="15"/>
      <c r="B186" s="15"/>
      <c r="C186" s="15"/>
      <c r="E186" s="13"/>
      <c r="F186" s="14"/>
      <c r="G186" s="15"/>
    </row>
    <row r="187" spans="1:7" x14ac:dyDescent="0.25">
      <c r="A187" s="15"/>
      <c r="B187" s="15"/>
      <c r="C187" s="15"/>
      <c r="E187" s="13"/>
      <c r="F187" s="14"/>
      <c r="G187" s="15"/>
    </row>
    <row r="188" spans="1:7" x14ac:dyDescent="0.25">
      <c r="A188" s="15"/>
      <c r="B188" s="15"/>
      <c r="C188" s="15"/>
      <c r="E188" s="13"/>
      <c r="F188" s="14"/>
      <c r="G188" s="15"/>
    </row>
    <row r="189" spans="1:7" x14ac:dyDescent="0.25">
      <c r="A189" s="15"/>
      <c r="B189" s="15"/>
      <c r="C189" s="15"/>
      <c r="E189" s="13"/>
      <c r="F189" s="14"/>
      <c r="G189" s="15"/>
    </row>
    <row r="190" spans="1:7" x14ac:dyDescent="0.25">
      <c r="A190" s="15"/>
      <c r="B190" s="15"/>
      <c r="C190" s="15"/>
      <c r="E190" s="13"/>
      <c r="F190" s="14"/>
      <c r="G190" s="15"/>
    </row>
    <row r="191" spans="1:7" x14ac:dyDescent="0.25">
      <c r="A191" s="15"/>
      <c r="B191" s="15"/>
      <c r="C191" s="15"/>
      <c r="E191" s="13"/>
      <c r="F191" s="14"/>
      <c r="G191" s="15"/>
    </row>
    <row r="192" spans="1:7" x14ac:dyDescent="0.25">
      <c r="A192" s="15"/>
      <c r="B192" s="15"/>
      <c r="C192" s="15"/>
      <c r="E192" s="13"/>
      <c r="F192" s="14"/>
      <c r="G192" s="15"/>
    </row>
    <row r="193" spans="1:7" x14ac:dyDescent="0.25">
      <c r="A193" s="15"/>
      <c r="B193" s="15"/>
      <c r="C193" s="15"/>
      <c r="E193" s="13"/>
      <c r="F193" s="14"/>
      <c r="G193" s="15"/>
    </row>
    <row r="194" spans="1:7" x14ac:dyDescent="0.25">
      <c r="A194" s="15"/>
      <c r="B194" s="15"/>
      <c r="C194" s="15"/>
      <c r="E194" s="13"/>
      <c r="F194" s="14"/>
      <c r="G194" s="15"/>
    </row>
    <row r="195" spans="1:7" x14ac:dyDescent="0.25">
      <c r="A195" s="15"/>
      <c r="B195" s="15"/>
      <c r="C195" s="15"/>
      <c r="E195" s="13"/>
      <c r="F195" s="14"/>
      <c r="G195" s="15"/>
    </row>
    <row r="196" spans="1:7" x14ac:dyDescent="0.25">
      <c r="A196" s="15"/>
      <c r="B196" s="15"/>
      <c r="C196" s="15"/>
      <c r="E196" s="13"/>
      <c r="F196" s="14"/>
      <c r="G196" s="15"/>
    </row>
    <row r="197" spans="1:7" x14ac:dyDescent="0.25">
      <c r="A197" s="15"/>
      <c r="B197" s="15"/>
      <c r="C197" s="15"/>
      <c r="E197" s="13"/>
      <c r="F197" s="14"/>
      <c r="G197" s="15"/>
    </row>
    <row r="198" spans="1:7" x14ac:dyDescent="0.25">
      <c r="A198" s="15"/>
      <c r="B198" s="15"/>
      <c r="C198" s="15"/>
      <c r="E198" s="13"/>
      <c r="F198" s="14"/>
      <c r="G198" s="15"/>
    </row>
    <row r="199" spans="1:7" x14ac:dyDescent="0.25">
      <c r="A199" s="15"/>
      <c r="B199" s="15"/>
      <c r="C199" s="15"/>
      <c r="E199" s="13"/>
      <c r="F199" s="14"/>
      <c r="G199" s="15"/>
    </row>
    <row r="200" spans="1:7" x14ac:dyDescent="0.25">
      <c r="A200" s="15"/>
      <c r="B200" s="15"/>
      <c r="C200" s="15"/>
      <c r="E200" s="13"/>
      <c r="F200" s="14"/>
      <c r="G200" s="15"/>
    </row>
    <row r="201" spans="1:7" x14ac:dyDescent="0.25">
      <c r="A201" s="15"/>
      <c r="B201" s="15"/>
      <c r="C201" s="15"/>
      <c r="E201" s="13"/>
      <c r="F201" s="14"/>
      <c r="G201" s="15"/>
    </row>
    <row r="202" spans="1:7" x14ac:dyDescent="0.25">
      <c r="A202" s="15"/>
      <c r="B202" s="15"/>
      <c r="C202" s="15"/>
      <c r="E202" s="13"/>
      <c r="F202" s="14"/>
      <c r="G202" s="15"/>
    </row>
    <row r="203" spans="1:7" x14ac:dyDescent="0.25">
      <c r="A203" s="15"/>
      <c r="B203" s="15"/>
      <c r="C203" s="15"/>
      <c r="E203" s="13"/>
      <c r="F203" s="14"/>
      <c r="G203" s="15"/>
    </row>
    <row r="204" spans="1:7" x14ac:dyDescent="0.25">
      <c r="A204" s="15"/>
      <c r="B204" s="15"/>
      <c r="C204" s="15"/>
      <c r="E204" s="13"/>
      <c r="F204" s="14"/>
      <c r="G204" s="15"/>
    </row>
  </sheetData>
  <mergeCells count="1">
    <mergeCell ref="A1:Q1"/>
  </mergeCells>
  <dataValidations count="1">
    <dataValidation type="list" allowBlank="1" showInputMessage="1" showErrorMessage="1" sqref="D5:D204" xr:uid="{77DD8879-D937-48BB-A731-C7E153C8566F}">
      <formula1>"Sala de Mistura,FETTE 2090,FETTE 2,Mediseal,Blisterflex,Granulação"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00_Dashboard</vt:lpstr>
      <vt:lpstr>02_Operacoes</vt:lpstr>
      <vt:lpstr>1_Planejamento</vt:lpstr>
      <vt:lpstr>SAP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jose Robson Lisboa</cp:lastModifiedBy>
  <dcterms:created xsi:type="dcterms:W3CDTF">2026-09-17T03:56:23Z</dcterms:created>
  <dcterms:modified xsi:type="dcterms:W3CDTF">2026-09-24T04:00:19Z</dcterms:modified>
</cp:coreProperties>
</file>